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-15" yWindow="-15" windowWidth="17895" windowHeight="8595" tabRatio="473"/>
  </bookViews>
  <sheets>
    <sheet name="mapa" sheetId="19" r:id="rId1"/>
  </sheets>
  <definedNames>
    <definedName name="D_ALB">#REF!</definedName>
    <definedName name="D_AUT">#REF!</definedName>
    <definedName name="D_BEL">#REF!</definedName>
    <definedName name="D_BGR">#REF!</definedName>
    <definedName name="D_BIH">#REF!</definedName>
    <definedName name="D_BLR">#REF!</definedName>
    <definedName name="D_CHE">#REF!</definedName>
    <definedName name="D_CZE">#REF!</definedName>
    <definedName name="D_DEU">#REF!</definedName>
    <definedName name="D_DNK">#REF!</definedName>
    <definedName name="D_ESP">#REF!</definedName>
    <definedName name="D_EST">#REF!</definedName>
    <definedName name="D_FIN">#REF!</definedName>
    <definedName name="D_FRA">#REF!</definedName>
    <definedName name="D_GBR">#REF!</definedName>
    <definedName name="D_GRC">#REF!</definedName>
    <definedName name="D_HRV">#REF!</definedName>
    <definedName name="D_HUN">#REF!</definedName>
    <definedName name="D_IRL">#REF!</definedName>
    <definedName name="D_ITA">#REF!</definedName>
    <definedName name="D_LTU">#REF!</definedName>
    <definedName name="D_LUX">#REF!</definedName>
    <definedName name="D_LVA">#REF!</definedName>
    <definedName name="D_MDA">#REF!</definedName>
    <definedName name="D_MKD">#REF!</definedName>
    <definedName name="D_MLT">#REF!</definedName>
    <definedName name="D_NLD">#REF!</definedName>
    <definedName name="D_NOR">#REF!</definedName>
    <definedName name="D_POL">#REF!</definedName>
    <definedName name="D_PRT">#REF!</definedName>
    <definedName name="D_ROM">#REF!</definedName>
    <definedName name="D_RUS">#REF!</definedName>
    <definedName name="D_SR">#REF!</definedName>
    <definedName name="D_SVK">#REF!</definedName>
    <definedName name="D_SVN">#REF!</definedName>
    <definedName name="D_SWE">#REF!</definedName>
    <definedName name="D_UKR">#REF!</definedName>
    <definedName name="MapNameToShape">#REF!</definedName>
    <definedName name="MapValueToColor">#REF!</definedName>
    <definedName name="pais">mapa!$L$3:$N$39</definedName>
    <definedName name="paleta">mapa!$P$2</definedName>
    <definedName name="pintar">mapa!$N$3:$P$39</definedName>
  </definedNames>
  <calcPr calcId="125725" concurrentCalc="0"/>
</workbook>
</file>

<file path=xl/calcChain.xml><?xml version="1.0" encoding="utf-8"?>
<calcChain xmlns="http://schemas.openxmlformats.org/spreadsheetml/2006/main">
  <c r="Z28" i="19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O4"/>
  <c r="P4"/>
  <c r="O5"/>
  <c r="P5"/>
  <c r="O6"/>
  <c r="P6"/>
  <c r="O7"/>
  <c r="P7"/>
  <c r="O8"/>
  <c r="P8"/>
  <c r="O9"/>
  <c r="P9"/>
  <c r="O10"/>
  <c r="P10"/>
  <c r="O11"/>
  <c r="P11"/>
  <c r="O12"/>
  <c r="P12"/>
  <c r="O13"/>
  <c r="P13"/>
  <c r="O14"/>
  <c r="P14"/>
  <c r="O15"/>
  <c r="P15"/>
  <c r="O16"/>
  <c r="P16"/>
  <c r="O17"/>
  <c r="P17"/>
  <c r="O18"/>
  <c r="P18"/>
  <c r="O19"/>
  <c r="P19"/>
  <c r="O20"/>
  <c r="P20"/>
  <c r="O21"/>
  <c r="P21"/>
  <c r="O22"/>
  <c r="P22"/>
  <c r="O23"/>
  <c r="P23"/>
  <c r="O24"/>
  <c r="P24"/>
  <c r="O25"/>
  <c r="P25"/>
  <c r="O26"/>
  <c r="P26"/>
  <c r="O27"/>
  <c r="P27"/>
  <c r="O28"/>
  <c r="P28"/>
  <c r="O29"/>
  <c r="P29"/>
  <c r="O30"/>
  <c r="P30"/>
  <c r="O31"/>
  <c r="P31"/>
  <c r="O32"/>
  <c r="P32"/>
  <c r="O33"/>
  <c r="P33"/>
  <c r="O34"/>
  <c r="P34"/>
  <c r="O35"/>
  <c r="P35"/>
  <c r="O36"/>
  <c r="P36"/>
  <c r="O37"/>
  <c r="P37"/>
  <c r="O38"/>
  <c r="P38"/>
  <c r="O39"/>
  <c r="P39"/>
  <c r="O3"/>
  <c r="P3"/>
  <c r="Z27"/>
  <c r="Z18"/>
  <c r="Z19"/>
  <c r="Z20"/>
  <c r="Z21"/>
  <c r="Z22"/>
  <c r="Z23"/>
  <c r="Z24"/>
  <c r="Z25"/>
  <c r="Z26"/>
  <c r="Z17"/>
  <c r="Z8"/>
  <c r="Z9"/>
  <c r="Z10"/>
  <c r="Z11"/>
  <c r="Z12"/>
  <c r="Z13"/>
  <c r="Z14"/>
  <c r="Z15"/>
  <c r="Z16"/>
  <c r="Z7"/>
  <c r="Z3"/>
  <c r="Z4"/>
  <c r="Z5"/>
  <c r="Z6"/>
  <c r="Z2"/>
</calcChain>
</file>

<file path=xl/sharedStrings.xml><?xml version="1.0" encoding="utf-8"?>
<sst xmlns="http://schemas.openxmlformats.org/spreadsheetml/2006/main" count="89" uniqueCount="84">
  <si>
    <t>Albania</t>
  </si>
  <si>
    <t>ALB</t>
  </si>
  <si>
    <t>GBR</t>
  </si>
  <si>
    <t>NLD</t>
  </si>
  <si>
    <t>Belgium</t>
  </si>
  <si>
    <t>BEL</t>
  </si>
  <si>
    <t>BIH</t>
  </si>
  <si>
    <t>Bulgaria</t>
  </si>
  <si>
    <t>BGR</t>
  </si>
  <si>
    <t>Denmark</t>
  </si>
  <si>
    <t>DNK</t>
  </si>
  <si>
    <t>Germany</t>
  </si>
  <si>
    <t>DEU</t>
  </si>
  <si>
    <t>Estonia</t>
  </si>
  <si>
    <t>EST</t>
  </si>
  <si>
    <t>Finland</t>
  </si>
  <si>
    <t>FIN</t>
  </si>
  <si>
    <t>France</t>
  </si>
  <si>
    <t>FRA</t>
  </si>
  <si>
    <t>Greece</t>
  </si>
  <si>
    <t>GRC</t>
  </si>
  <si>
    <t>IRL</t>
  </si>
  <si>
    <t>Italy</t>
  </si>
  <si>
    <t>ITA</t>
  </si>
  <si>
    <t>Croatia</t>
  </si>
  <si>
    <t>HRV</t>
  </si>
  <si>
    <t>Latvia</t>
  </si>
  <si>
    <t>LVA</t>
  </si>
  <si>
    <t>Lithuania</t>
  </si>
  <si>
    <t>LTU</t>
  </si>
  <si>
    <t>Luxembourg</t>
  </si>
  <si>
    <t>LUX</t>
  </si>
  <si>
    <t>Malta</t>
  </si>
  <si>
    <t>MKD</t>
  </si>
  <si>
    <t>MDA</t>
  </si>
  <si>
    <t>Netherlands</t>
  </si>
  <si>
    <t>Norway</t>
  </si>
  <si>
    <t>NOR</t>
  </si>
  <si>
    <t>Austria</t>
  </si>
  <si>
    <t>AUT</t>
  </si>
  <si>
    <t>Poland</t>
  </si>
  <si>
    <t>POL</t>
  </si>
  <si>
    <t>Portugal</t>
  </si>
  <si>
    <t>PRT</t>
  </si>
  <si>
    <t>ROM</t>
  </si>
  <si>
    <t>RUS</t>
  </si>
  <si>
    <t>Sweden</t>
  </si>
  <si>
    <t>SWE</t>
  </si>
  <si>
    <t>Switzerland</t>
  </si>
  <si>
    <t>CHE</t>
  </si>
  <si>
    <t>Serbia</t>
  </si>
  <si>
    <t>SR</t>
  </si>
  <si>
    <t>Slovakia</t>
  </si>
  <si>
    <t>SVK</t>
  </si>
  <si>
    <t>Slovenia</t>
  </si>
  <si>
    <t>SVN</t>
  </si>
  <si>
    <t>Spain</t>
  </si>
  <si>
    <t>ESP</t>
  </si>
  <si>
    <t>Czech Republic</t>
  </si>
  <si>
    <t>CZE</t>
  </si>
  <si>
    <t>Ukraine</t>
  </si>
  <si>
    <t>UKR</t>
  </si>
  <si>
    <t>Hungary</t>
  </si>
  <si>
    <t>HUN</t>
  </si>
  <si>
    <t>BLR</t>
  </si>
  <si>
    <t>Ireland</t>
  </si>
  <si>
    <t>Russia</t>
  </si>
  <si>
    <t>United Kingdom</t>
  </si>
  <si>
    <t>Romania</t>
  </si>
  <si>
    <t>Belarus</t>
  </si>
  <si>
    <t>Bosnia and Herzegovina</t>
  </si>
  <si>
    <t>Moldova</t>
  </si>
  <si>
    <t>Macedonia</t>
  </si>
  <si>
    <t>País</t>
  </si>
  <si>
    <t>Dato</t>
  </si>
  <si>
    <t>Niveles</t>
  </si>
  <si>
    <t>Paletas de colores</t>
  </si>
  <si>
    <t>Paleta 1</t>
  </si>
  <si>
    <t>Paleta 2</t>
  </si>
  <si>
    <t>Paleta 3</t>
  </si>
  <si>
    <t>Paleta 4</t>
  </si>
  <si>
    <t>Seleccionar paleta</t>
  </si>
  <si>
    <t>Abr</t>
  </si>
  <si>
    <t>MAL</t>
  </si>
</sst>
</file>

<file path=xl/styles.xml><?xml version="1.0" encoding="utf-8"?>
<styleSheet xmlns="http://schemas.openxmlformats.org/spreadsheetml/2006/main">
  <fonts count="10">
    <font>
      <sz val="10"/>
      <name val="Arial"/>
    </font>
    <font>
      <sz val="1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</fonts>
  <fills count="63">
    <fill>
      <patternFill patternType="none"/>
    </fill>
    <fill>
      <patternFill patternType="gray125"/>
    </fill>
    <fill>
      <patternFill patternType="solid">
        <fgColor rgb="FFF8696B"/>
        <bgColor indexed="64"/>
      </patternFill>
    </fill>
    <fill>
      <patternFill patternType="solid">
        <fgColor rgb="FFFBAA77"/>
        <bgColor indexed="64"/>
      </patternFill>
    </fill>
    <fill>
      <patternFill patternType="solid">
        <fgColor rgb="FFFFEB84"/>
        <bgColor indexed="64"/>
      </patternFill>
    </fill>
    <fill>
      <patternFill patternType="solid">
        <fgColor rgb="FFB1D58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rgb="FFFFEF9C"/>
        <bgColor indexed="64"/>
      </patternFill>
    </fill>
    <fill>
      <patternFill patternType="solid">
        <fgColor rgb="FFEEEA99"/>
        <bgColor indexed="64"/>
      </patternFill>
    </fill>
    <fill>
      <patternFill patternType="solid">
        <fgColor rgb="FFDDE595"/>
        <bgColor indexed="64"/>
      </patternFill>
    </fill>
    <fill>
      <patternFill patternType="solid">
        <fgColor rgb="FFCBDF91"/>
        <bgColor indexed="64"/>
      </patternFill>
    </fill>
    <fill>
      <patternFill patternType="solid">
        <fgColor rgb="FFBADA8E"/>
        <bgColor indexed="64"/>
      </patternFill>
    </fill>
    <fill>
      <patternFill patternType="solid">
        <fgColor rgb="FFA9D48A"/>
        <bgColor indexed="64"/>
      </patternFill>
    </fill>
    <fill>
      <patternFill patternType="solid">
        <fgColor rgb="FF97CF86"/>
        <bgColor indexed="64"/>
      </patternFill>
    </fill>
    <fill>
      <patternFill patternType="solid">
        <fgColor rgb="FF86C983"/>
        <bgColor indexed="64"/>
      </patternFill>
    </fill>
    <fill>
      <patternFill patternType="solid">
        <fgColor rgb="FF75C47F"/>
        <bgColor indexed="64"/>
      </patternFill>
    </fill>
    <fill>
      <patternFill patternType="solid">
        <fgColor rgb="FFFF7128"/>
        <bgColor indexed="64"/>
      </patternFill>
    </fill>
    <fill>
      <patternFill patternType="solid">
        <fgColor rgb="FFFF7F34"/>
        <bgColor indexed="64"/>
      </patternFill>
    </fill>
    <fill>
      <patternFill patternType="solid">
        <fgColor rgb="FFFF8D41"/>
        <bgColor indexed="64"/>
      </patternFill>
    </fill>
    <fill>
      <patternFill patternType="solid">
        <fgColor rgb="FFFF9B4E"/>
        <bgColor indexed="64"/>
      </patternFill>
    </fill>
    <fill>
      <patternFill patternType="solid">
        <fgColor rgb="FFFFA95B"/>
        <bgColor indexed="64"/>
      </patternFill>
    </fill>
    <fill>
      <patternFill patternType="solid">
        <fgColor rgb="FFFFB768"/>
        <bgColor indexed="64"/>
      </patternFill>
    </fill>
    <fill>
      <patternFill patternType="solid">
        <fgColor rgb="FFFFC575"/>
        <bgColor indexed="64"/>
      </patternFill>
    </fill>
    <fill>
      <patternFill patternType="solid">
        <fgColor rgb="FFFFD382"/>
        <bgColor indexed="64"/>
      </patternFill>
    </fill>
    <fill>
      <patternFill patternType="solid">
        <fgColor rgb="FFFFE18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9FBFE"/>
        <bgColor indexed="64"/>
      </patternFill>
    </fill>
    <fill>
      <patternFill patternType="solid">
        <fgColor rgb="FFF3F7FC"/>
        <bgColor indexed="64"/>
      </patternFill>
    </fill>
    <fill>
      <patternFill patternType="solid">
        <fgColor rgb="FFECF3FB"/>
        <bgColor indexed="64"/>
      </patternFill>
    </fill>
    <fill>
      <patternFill patternType="solid">
        <fgColor rgb="FFE6EFF9"/>
        <bgColor indexed="64"/>
      </patternFill>
    </fill>
    <fill>
      <patternFill patternType="solid">
        <fgColor rgb="FFE0EBF8"/>
        <bgColor indexed="64"/>
      </patternFill>
    </fill>
    <fill>
      <patternFill patternType="solid">
        <fgColor rgb="FFD9E6F6"/>
        <bgColor indexed="64"/>
      </patternFill>
    </fill>
    <fill>
      <patternFill patternType="solid">
        <fgColor rgb="FFD3E2F5"/>
        <bgColor indexed="64"/>
      </patternFill>
    </fill>
    <fill>
      <patternFill patternType="solid">
        <fgColor rgb="FFCDDEF3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C0D6F0"/>
        <bgColor indexed="64"/>
      </patternFill>
    </fill>
    <fill>
      <patternFill patternType="solid">
        <fgColor rgb="FFBAD2EE"/>
        <bgColor indexed="64"/>
      </patternFill>
    </fill>
    <fill>
      <patternFill patternType="solid">
        <fgColor rgb="FFB3CDED"/>
        <bgColor indexed="64"/>
      </patternFill>
    </fill>
    <fill>
      <patternFill patternType="solid">
        <fgColor rgb="FFADC9EB"/>
        <bgColor indexed="64"/>
      </patternFill>
    </fill>
    <fill>
      <patternFill patternType="solid">
        <fgColor rgb="FFA7C5EA"/>
        <bgColor indexed="64"/>
      </patternFill>
    </fill>
    <fill>
      <patternFill patternType="solid">
        <fgColor rgb="FFA0C1E8"/>
        <bgColor indexed="64"/>
      </patternFill>
    </fill>
    <fill>
      <patternFill patternType="solid">
        <fgColor rgb="FF9ABDE7"/>
        <bgColor indexed="64"/>
      </patternFill>
    </fill>
    <fill>
      <patternFill patternType="solid">
        <fgColor rgb="FF94B9E5"/>
        <bgColor indexed="64"/>
      </patternFill>
    </fill>
    <fill>
      <patternFill patternType="solid">
        <fgColor rgb="FF8DB4E3"/>
        <bgColor indexed="64"/>
      </patternFill>
    </fill>
    <fill>
      <patternFill patternType="solid">
        <fgColor rgb="FF87AEDC"/>
        <bgColor indexed="64"/>
      </patternFill>
    </fill>
    <fill>
      <patternFill patternType="solid">
        <fgColor rgb="FF80A7D5"/>
        <bgColor indexed="64"/>
      </patternFill>
    </fill>
    <fill>
      <patternFill patternType="solid">
        <fgColor rgb="FF7AA0CD"/>
        <bgColor indexed="64"/>
      </patternFill>
    </fill>
    <fill>
      <patternFill patternType="solid">
        <fgColor rgb="FF7399C6"/>
        <bgColor indexed="64"/>
      </patternFill>
    </fill>
    <fill>
      <patternFill patternType="solid">
        <fgColor rgb="FF6D92BE"/>
        <bgColor indexed="64"/>
      </patternFill>
    </fill>
    <fill>
      <patternFill patternType="solid">
        <fgColor rgb="FF668BB7"/>
        <bgColor indexed="64"/>
      </patternFill>
    </fill>
    <fill>
      <patternFill patternType="solid">
        <fgColor rgb="FF6084AF"/>
        <bgColor indexed="64"/>
      </patternFill>
    </fill>
    <fill>
      <patternFill patternType="solid">
        <fgColor rgb="FF597DA8"/>
        <bgColor indexed="64"/>
      </patternFill>
    </fill>
    <fill>
      <patternFill patternType="solid">
        <fgColor rgb="FF5276A0"/>
        <bgColor indexed="64"/>
      </patternFill>
    </fill>
    <fill>
      <patternFill patternType="solid">
        <fgColor rgb="FF4C6F99"/>
        <bgColor indexed="64"/>
      </patternFill>
    </fill>
    <fill>
      <patternFill patternType="solid">
        <fgColor rgb="FF456892"/>
        <bgColor indexed="64"/>
      </patternFill>
    </fill>
    <fill>
      <patternFill patternType="solid">
        <fgColor rgb="FF3F618A"/>
        <bgColor indexed="64"/>
      </patternFill>
    </fill>
    <fill>
      <patternFill patternType="solid">
        <fgColor rgb="FF385A83"/>
        <bgColor indexed="64"/>
      </patternFill>
    </fill>
    <fill>
      <patternFill patternType="solid">
        <fgColor rgb="FF32537B"/>
        <bgColor indexed="64"/>
      </patternFill>
    </fill>
    <fill>
      <patternFill patternType="solid">
        <fgColor rgb="FF2B4C74"/>
        <bgColor indexed="64"/>
      </patternFill>
    </fill>
    <fill>
      <patternFill patternType="solid">
        <fgColor rgb="FF25456C"/>
        <bgColor indexed="64"/>
      </patternFill>
    </fill>
    <fill>
      <patternFill patternType="solid">
        <fgColor rgb="FF1E3E65"/>
        <bgColor indexed="64"/>
      </patternFill>
    </fill>
    <fill>
      <patternFill patternType="solid">
        <fgColor rgb="FF17375D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1" fillId="0" borderId="0" xfId="0" applyNumberFormat="1" applyFont="1" applyBorder="1" applyAlignment="1" applyProtection="1">
      <alignment vertical="center"/>
      <protection hidden="1"/>
    </xf>
    <xf numFmtId="0" fontId="1" fillId="0" borderId="0" xfId="0" applyNumberFormat="1" applyFont="1" applyAlignment="1" applyProtection="1">
      <alignment vertical="center"/>
      <protection hidden="1"/>
    </xf>
    <xf numFmtId="0" fontId="2" fillId="0" borderId="3" xfId="0" applyNumberFormat="1" applyFont="1" applyFill="1" applyBorder="1" applyAlignment="1" applyProtection="1">
      <alignment horizontal="left" vertical="center" indent="1"/>
      <protection locked="0" hidden="1"/>
    </xf>
    <xf numFmtId="0" fontId="2" fillId="0" borderId="3" xfId="0" applyNumberFormat="1" applyFont="1" applyFill="1" applyBorder="1" applyAlignment="1" applyProtection="1">
      <alignment horizontal="center" vertical="center"/>
      <protection locked="0" hidden="1"/>
    </xf>
    <xf numFmtId="0" fontId="2" fillId="0" borderId="4" xfId="0" applyNumberFormat="1" applyFont="1" applyFill="1" applyBorder="1" applyAlignment="1" applyProtection="1">
      <alignment horizontal="center" vertical="center"/>
      <protection locked="0" hidden="1"/>
    </xf>
    <xf numFmtId="0" fontId="2" fillId="0" borderId="4" xfId="0" applyNumberFormat="1" applyFont="1" applyFill="1" applyBorder="1" applyAlignment="1" applyProtection="1">
      <alignment horizontal="left" vertical="center" indent="1"/>
      <protection locked="0" hidden="1"/>
    </xf>
    <xf numFmtId="0" fontId="2" fillId="0" borderId="1" xfId="0" applyNumberFormat="1" applyFont="1" applyFill="1" applyBorder="1" applyAlignment="1" applyProtection="1">
      <alignment horizontal="left" vertical="center" indent="1"/>
      <protection locked="0" hidden="1"/>
    </xf>
    <xf numFmtId="0" fontId="2" fillId="0" borderId="1" xfId="0" applyNumberFormat="1" applyFont="1" applyFill="1" applyBorder="1" applyAlignment="1" applyProtection="1">
      <alignment horizontal="center" vertical="center"/>
      <protection locked="0" hidden="1"/>
    </xf>
    <xf numFmtId="0" fontId="5" fillId="0" borderId="0" xfId="0" applyNumberFormat="1" applyFont="1" applyAlignment="1" applyProtection="1">
      <alignment vertical="center"/>
      <protection hidden="1"/>
    </xf>
    <xf numFmtId="0" fontId="5" fillId="0" borderId="0" xfId="0" applyNumberFormat="1" applyFont="1" applyBorder="1" applyAlignment="1" applyProtection="1">
      <alignment vertical="center"/>
      <protection hidden="1"/>
    </xf>
    <xf numFmtId="0" fontId="6" fillId="0" borderId="0" xfId="0" applyNumberFormat="1" applyFont="1" applyFill="1" applyBorder="1" applyAlignment="1" applyProtection="1">
      <alignment horizontal="left" vertical="center" indent="1"/>
      <protection hidden="1"/>
    </xf>
    <xf numFmtId="0" fontId="3" fillId="0" borderId="0" xfId="0" applyNumberFormat="1" applyFont="1" applyFill="1" applyBorder="1" applyAlignment="1" applyProtection="1">
      <alignment horizontal="left" vertical="center" indent="1"/>
      <protection hidden="1"/>
    </xf>
    <xf numFmtId="0" fontId="7" fillId="0" borderId="2" xfId="0" applyNumberFormat="1" applyFont="1" applyFill="1" applyBorder="1" applyAlignment="1" applyProtection="1">
      <alignment horizontal="center" vertical="top" wrapText="1"/>
      <protection hidden="1"/>
    </xf>
    <xf numFmtId="0" fontId="3" fillId="0" borderId="2" xfId="0" applyNumberFormat="1" applyFont="1" applyBorder="1" applyAlignment="1" applyProtection="1">
      <alignment horizontal="center" vertical="center"/>
      <protection hidden="1"/>
    </xf>
    <xf numFmtId="0" fontId="3" fillId="0" borderId="0" xfId="0" applyNumberFormat="1" applyFont="1" applyAlignment="1" applyProtection="1">
      <alignment vertical="center"/>
      <protection hidden="1"/>
    </xf>
    <xf numFmtId="0" fontId="1" fillId="2" borderId="3" xfId="0" applyFont="1" applyFill="1" applyBorder="1" applyAlignment="1">
      <alignment horizontal="right"/>
    </xf>
    <xf numFmtId="0" fontId="1" fillId="3" borderId="4" xfId="0" applyFont="1" applyFill="1" applyBorder="1" applyAlignment="1">
      <alignment horizontal="right"/>
    </xf>
    <xf numFmtId="0" fontId="1" fillId="4" borderId="4" xfId="0" applyFont="1" applyFill="1" applyBorder="1" applyAlignment="1">
      <alignment horizontal="right"/>
    </xf>
    <xf numFmtId="0" fontId="1" fillId="5" borderId="4" xfId="0" applyFont="1" applyFill="1" applyBorder="1" applyAlignment="1">
      <alignment horizontal="right"/>
    </xf>
    <xf numFmtId="0" fontId="1" fillId="6" borderId="1" xfId="0" applyFont="1" applyFill="1" applyBorder="1" applyAlignment="1">
      <alignment horizontal="right"/>
    </xf>
    <xf numFmtId="0" fontId="1" fillId="7" borderId="3" xfId="0" applyFont="1" applyFill="1" applyBorder="1" applyAlignment="1">
      <alignment horizontal="right"/>
    </xf>
    <xf numFmtId="0" fontId="1" fillId="8" borderId="4" xfId="0" applyFont="1" applyFill="1" applyBorder="1" applyAlignment="1">
      <alignment horizontal="right"/>
    </xf>
    <xf numFmtId="0" fontId="1" fillId="9" borderId="4" xfId="0" applyFont="1" applyFill="1" applyBorder="1" applyAlignment="1">
      <alignment horizontal="right"/>
    </xf>
    <xf numFmtId="0" fontId="1" fillId="10" borderId="4" xfId="0" applyFont="1" applyFill="1" applyBorder="1" applyAlignment="1">
      <alignment horizontal="right"/>
    </xf>
    <xf numFmtId="0" fontId="1" fillId="11" borderId="4" xfId="0" applyFont="1" applyFill="1" applyBorder="1" applyAlignment="1">
      <alignment horizontal="right"/>
    </xf>
    <xf numFmtId="0" fontId="1" fillId="12" borderId="4" xfId="0" applyFont="1" applyFill="1" applyBorder="1" applyAlignment="1">
      <alignment horizontal="right"/>
    </xf>
    <xf numFmtId="0" fontId="1" fillId="13" borderId="4" xfId="0" applyFont="1" applyFill="1" applyBorder="1" applyAlignment="1">
      <alignment horizontal="right"/>
    </xf>
    <xf numFmtId="0" fontId="1" fillId="14" borderId="4" xfId="0" applyFont="1" applyFill="1" applyBorder="1" applyAlignment="1">
      <alignment horizontal="right"/>
    </xf>
    <xf numFmtId="0" fontId="1" fillId="15" borderId="4" xfId="0" applyFont="1" applyFill="1" applyBorder="1" applyAlignment="1">
      <alignment horizontal="right"/>
    </xf>
    <xf numFmtId="0" fontId="1" fillId="16" borderId="3" xfId="0" applyFont="1" applyFill="1" applyBorder="1" applyAlignment="1">
      <alignment horizontal="right"/>
    </xf>
    <xf numFmtId="0" fontId="1" fillId="17" borderId="4" xfId="0" applyFont="1" applyFill="1" applyBorder="1" applyAlignment="1">
      <alignment horizontal="right"/>
    </xf>
    <xf numFmtId="0" fontId="1" fillId="18" borderId="4" xfId="0" applyFont="1" applyFill="1" applyBorder="1" applyAlignment="1">
      <alignment horizontal="right"/>
    </xf>
    <xf numFmtId="0" fontId="1" fillId="19" borderId="4" xfId="0" applyFont="1" applyFill="1" applyBorder="1" applyAlignment="1">
      <alignment horizontal="right"/>
    </xf>
    <xf numFmtId="0" fontId="1" fillId="20" borderId="4" xfId="0" applyFont="1" applyFill="1" applyBorder="1" applyAlignment="1">
      <alignment horizontal="right"/>
    </xf>
    <xf numFmtId="0" fontId="1" fillId="21" borderId="4" xfId="0" applyFont="1" applyFill="1" applyBorder="1" applyAlignment="1">
      <alignment horizontal="right"/>
    </xf>
    <xf numFmtId="0" fontId="1" fillId="22" borderId="4" xfId="0" applyFont="1" applyFill="1" applyBorder="1" applyAlignment="1">
      <alignment horizontal="right"/>
    </xf>
    <xf numFmtId="0" fontId="1" fillId="23" borderId="4" xfId="0" applyFont="1" applyFill="1" applyBorder="1" applyAlignment="1">
      <alignment horizontal="right"/>
    </xf>
    <xf numFmtId="0" fontId="1" fillId="24" borderId="4" xfId="0" applyFont="1" applyFill="1" applyBorder="1" applyAlignment="1">
      <alignment horizontal="right"/>
    </xf>
    <xf numFmtId="0" fontId="1" fillId="7" borderId="1" xfId="0" applyFont="1" applyFill="1" applyBorder="1" applyAlignment="1">
      <alignment horizontal="right"/>
    </xf>
    <xf numFmtId="0" fontId="8" fillId="0" borderId="0" xfId="0" applyNumberFormat="1" applyFont="1" applyAlignment="1" applyProtection="1">
      <alignment vertical="center"/>
      <protection hidden="1"/>
    </xf>
    <xf numFmtId="0" fontId="1" fillId="25" borderId="3" xfId="0" applyFont="1" applyFill="1" applyBorder="1" applyAlignment="1">
      <alignment horizontal="right"/>
    </xf>
    <xf numFmtId="0" fontId="1" fillId="26" borderId="4" xfId="0" applyFont="1" applyFill="1" applyBorder="1" applyAlignment="1">
      <alignment horizontal="right"/>
    </xf>
    <xf numFmtId="0" fontId="1" fillId="27" borderId="4" xfId="0" applyFont="1" applyFill="1" applyBorder="1" applyAlignment="1">
      <alignment horizontal="right"/>
    </xf>
    <xf numFmtId="0" fontId="1" fillId="28" borderId="4" xfId="0" applyFont="1" applyFill="1" applyBorder="1" applyAlignment="1">
      <alignment horizontal="right"/>
    </xf>
    <xf numFmtId="0" fontId="1" fillId="29" borderId="4" xfId="0" applyFont="1" applyFill="1" applyBorder="1" applyAlignment="1">
      <alignment horizontal="right"/>
    </xf>
    <xf numFmtId="0" fontId="1" fillId="30" borderId="4" xfId="0" applyFont="1" applyFill="1" applyBorder="1" applyAlignment="1">
      <alignment horizontal="right"/>
    </xf>
    <xf numFmtId="0" fontId="1" fillId="31" borderId="4" xfId="0" applyFont="1" applyFill="1" applyBorder="1" applyAlignment="1">
      <alignment horizontal="right"/>
    </xf>
    <xf numFmtId="0" fontId="1" fillId="32" borderId="4" xfId="0" applyFont="1" applyFill="1" applyBorder="1" applyAlignment="1">
      <alignment horizontal="right"/>
    </xf>
    <xf numFmtId="0" fontId="1" fillId="33" borderId="4" xfId="0" applyFont="1" applyFill="1" applyBorder="1" applyAlignment="1">
      <alignment horizontal="right"/>
    </xf>
    <xf numFmtId="0" fontId="1" fillId="34" borderId="4" xfId="0" applyFont="1" applyFill="1" applyBorder="1" applyAlignment="1">
      <alignment horizontal="right"/>
    </xf>
    <xf numFmtId="0" fontId="1" fillId="35" borderId="4" xfId="0" applyFont="1" applyFill="1" applyBorder="1" applyAlignment="1">
      <alignment horizontal="right"/>
    </xf>
    <xf numFmtId="0" fontId="1" fillId="36" borderId="4" xfId="0" applyFont="1" applyFill="1" applyBorder="1" applyAlignment="1">
      <alignment horizontal="right"/>
    </xf>
    <xf numFmtId="0" fontId="1" fillId="37" borderId="4" xfId="0" applyFont="1" applyFill="1" applyBorder="1" applyAlignment="1">
      <alignment horizontal="right"/>
    </xf>
    <xf numFmtId="0" fontId="1" fillId="38" borderId="4" xfId="0" applyFont="1" applyFill="1" applyBorder="1" applyAlignment="1">
      <alignment horizontal="right"/>
    </xf>
    <xf numFmtId="0" fontId="1" fillId="39" borderId="4" xfId="0" applyFont="1" applyFill="1" applyBorder="1" applyAlignment="1">
      <alignment horizontal="right"/>
    </xf>
    <xf numFmtId="0" fontId="1" fillId="40" borderId="4" xfId="0" applyFont="1" applyFill="1" applyBorder="1" applyAlignment="1">
      <alignment horizontal="right"/>
    </xf>
    <xf numFmtId="0" fontId="1" fillId="41" borderId="4" xfId="0" applyFont="1" applyFill="1" applyBorder="1" applyAlignment="1">
      <alignment horizontal="right"/>
    </xf>
    <xf numFmtId="0" fontId="1" fillId="42" borderId="4" xfId="0" applyFont="1" applyFill="1" applyBorder="1" applyAlignment="1">
      <alignment horizontal="right"/>
    </xf>
    <xf numFmtId="0" fontId="1" fillId="43" borderId="4" xfId="0" applyFont="1" applyFill="1" applyBorder="1" applyAlignment="1">
      <alignment horizontal="right"/>
    </xf>
    <xf numFmtId="0" fontId="1" fillId="44" borderId="4" xfId="0" applyFont="1" applyFill="1" applyBorder="1" applyAlignment="1">
      <alignment horizontal="right"/>
    </xf>
    <xf numFmtId="0" fontId="1" fillId="45" borderId="4" xfId="0" applyFont="1" applyFill="1" applyBorder="1" applyAlignment="1">
      <alignment horizontal="right"/>
    </xf>
    <xf numFmtId="0" fontId="1" fillId="46" borderId="4" xfId="0" applyFont="1" applyFill="1" applyBorder="1" applyAlignment="1">
      <alignment horizontal="right"/>
    </xf>
    <xf numFmtId="0" fontId="1" fillId="47" borderId="4" xfId="0" applyFont="1" applyFill="1" applyBorder="1" applyAlignment="1">
      <alignment horizontal="right"/>
    </xf>
    <xf numFmtId="0" fontId="1" fillId="48" borderId="4" xfId="0" applyFont="1" applyFill="1" applyBorder="1" applyAlignment="1">
      <alignment horizontal="right"/>
    </xf>
    <xf numFmtId="0" fontId="1" fillId="49" borderId="4" xfId="0" applyFont="1" applyFill="1" applyBorder="1" applyAlignment="1">
      <alignment horizontal="right"/>
    </xf>
    <xf numFmtId="0" fontId="1" fillId="50" borderId="4" xfId="0" applyFont="1" applyFill="1" applyBorder="1" applyAlignment="1">
      <alignment horizontal="right"/>
    </xf>
    <xf numFmtId="0" fontId="1" fillId="51" borderId="4" xfId="0" applyFont="1" applyFill="1" applyBorder="1" applyAlignment="1">
      <alignment horizontal="right"/>
    </xf>
    <xf numFmtId="0" fontId="1" fillId="52" borderId="4" xfId="0" applyFont="1" applyFill="1" applyBorder="1" applyAlignment="1">
      <alignment horizontal="right"/>
    </xf>
    <xf numFmtId="0" fontId="1" fillId="53" borderId="4" xfId="0" applyFont="1" applyFill="1" applyBorder="1" applyAlignment="1">
      <alignment horizontal="right"/>
    </xf>
    <xf numFmtId="0" fontId="1" fillId="54" borderId="4" xfId="0" applyFont="1" applyFill="1" applyBorder="1" applyAlignment="1">
      <alignment horizontal="right"/>
    </xf>
    <xf numFmtId="0" fontId="1" fillId="55" borderId="4" xfId="0" applyFont="1" applyFill="1" applyBorder="1" applyAlignment="1">
      <alignment horizontal="right"/>
    </xf>
    <xf numFmtId="0" fontId="1" fillId="56" borderId="4" xfId="0" applyFont="1" applyFill="1" applyBorder="1" applyAlignment="1">
      <alignment horizontal="right"/>
    </xf>
    <xf numFmtId="0" fontId="1" fillId="57" borderId="4" xfId="0" applyFont="1" applyFill="1" applyBorder="1" applyAlignment="1">
      <alignment horizontal="right"/>
    </xf>
    <xf numFmtId="0" fontId="1" fillId="58" borderId="4" xfId="0" applyFont="1" applyFill="1" applyBorder="1" applyAlignment="1">
      <alignment horizontal="right"/>
    </xf>
    <xf numFmtId="0" fontId="1" fillId="59" borderId="4" xfId="0" applyFont="1" applyFill="1" applyBorder="1" applyAlignment="1">
      <alignment horizontal="right"/>
    </xf>
    <xf numFmtId="0" fontId="1" fillId="60" borderId="4" xfId="0" applyFont="1" applyFill="1" applyBorder="1" applyAlignment="1">
      <alignment horizontal="right"/>
    </xf>
    <xf numFmtId="0" fontId="1" fillId="61" borderId="1" xfId="0" applyFont="1" applyFill="1" applyBorder="1" applyAlignment="1">
      <alignment horizontal="right"/>
    </xf>
    <xf numFmtId="0" fontId="9" fillId="62" borderId="2" xfId="0" applyNumberFormat="1" applyFont="1" applyFill="1" applyBorder="1" applyAlignment="1" applyProtection="1">
      <alignment horizontal="center" vertical="center" wrapText="1"/>
      <protection hidden="1"/>
    </xf>
    <xf numFmtId="0" fontId="5" fillId="0" borderId="3" xfId="0" applyNumberFormat="1" applyFont="1" applyBorder="1" applyAlignment="1" applyProtection="1">
      <alignment vertical="center"/>
      <protection hidden="1"/>
    </xf>
    <xf numFmtId="0" fontId="5" fillId="0" borderId="4" xfId="0" applyNumberFormat="1" applyFont="1" applyBorder="1" applyAlignment="1" applyProtection="1">
      <alignment vertical="center"/>
      <protection hidden="1"/>
    </xf>
    <xf numFmtId="0" fontId="5" fillId="0" borderId="1" xfId="0" applyNumberFormat="1" applyFont="1" applyBorder="1" applyAlignment="1" applyProtection="1">
      <alignment vertical="center"/>
      <protection hidden="1"/>
    </xf>
    <xf numFmtId="0" fontId="8" fillId="0" borderId="0" xfId="0" applyNumberFormat="1" applyFont="1" applyFill="1" applyBorder="1" applyAlignment="1" applyProtection="1">
      <alignment vertical="center"/>
      <protection hidden="1"/>
    </xf>
    <xf numFmtId="0" fontId="8" fillId="0" borderId="0" xfId="0" applyFont="1" applyFill="1" applyBorder="1" applyAlignment="1">
      <alignment horizontal="right"/>
    </xf>
    <xf numFmtId="0" fontId="8" fillId="0" borderId="0" xfId="0" applyFont="1" applyFill="1" applyBorder="1"/>
    <xf numFmtId="0" fontId="3" fillId="0" borderId="5" xfId="0" applyNumberFormat="1" applyFont="1" applyBorder="1" applyAlignment="1" applyProtection="1">
      <alignment horizontal="center" vertical="center"/>
      <protection hidden="1"/>
    </xf>
    <xf numFmtId="0" fontId="3" fillId="0" borderId="7" xfId="0" applyNumberFormat="1" applyFont="1" applyBorder="1" applyAlignment="1" applyProtection="1">
      <alignment horizontal="center" vertical="center"/>
      <protection hidden="1"/>
    </xf>
    <xf numFmtId="0" fontId="3" fillId="0" borderId="6" xfId="0" applyNumberFormat="1" applyFont="1" applyBorder="1" applyAlignment="1" applyProtection="1">
      <alignment horizontal="center" vertical="center"/>
      <protection hidden="1"/>
    </xf>
    <xf numFmtId="3" fontId="2" fillId="32" borderId="3" xfId="0" applyNumberFormat="1" applyFont="1" applyFill="1" applyBorder="1" applyAlignment="1" applyProtection="1">
      <alignment vertical="center"/>
      <protection locked="0" hidden="1"/>
    </xf>
    <xf numFmtId="3" fontId="2" fillId="44" borderId="4" xfId="0" applyNumberFormat="1" applyFont="1" applyFill="1" applyBorder="1" applyAlignment="1" applyProtection="1">
      <alignment vertical="center"/>
      <protection locked="0" hidden="1"/>
    </xf>
    <xf numFmtId="3" fontId="2" fillId="46" borderId="4" xfId="0" applyNumberFormat="1" applyFont="1" applyFill="1" applyBorder="1" applyAlignment="1" applyProtection="1">
      <alignment vertical="center"/>
      <protection locked="0" hidden="1"/>
    </xf>
    <xf numFmtId="3" fontId="2" fillId="49" borderId="4" xfId="0" applyNumberFormat="1" applyFont="1" applyFill="1" applyBorder="1" applyAlignment="1" applyProtection="1">
      <alignment vertical="center"/>
      <protection locked="0" hidden="1"/>
    </xf>
    <xf numFmtId="3" fontId="2" fillId="36" borderId="4" xfId="0" applyNumberFormat="1" applyFont="1" applyFill="1" applyBorder="1" applyAlignment="1" applyProtection="1">
      <alignment vertical="center"/>
      <protection locked="0" hidden="1"/>
    </xf>
    <xf numFmtId="3" fontId="2" fillId="41" borderId="4" xfId="0" applyNumberFormat="1" applyFont="1" applyFill="1" applyBorder="1" applyAlignment="1" applyProtection="1">
      <alignment vertical="center"/>
      <protection locked="0" hidden="1"/>
    </xf>
    <xf numFmtId="3" fontId="2" fillId="35" borderId="4" xfId="0" applyNumberFormat="1" applyFont="1" applyFill="1" applyBorder="1" applyAlignment="1" applyProtection="1">
      <alignment vertical="center"/>
      <protection locked="0" hidden="1"/>
    </xf>
    <xf numFmtId="3" fontId="2" fillId="48" borderId="4" xfId="0" applyNumberFormat="1" applyFont="1" applyFill="1" applyBorder="1" applyAlignment="1" applyProtection="1">
      <alignment vertical="center"/>
      <protection locked="0" hidden="1"/>
    </xf>
    <xf numFmtId="3" fontId="2" fillId="40" borderId="4" xfId="0" applyNumberFormat="1" applyFont="1" applyFill="1" applyBorder="1" applyAlignment="1" applyProtection="1">
      <alignment vertical="center"/>
      <protection locked="0" hidden="1"/>
    </xf>
    <xf numFmtId="3" fontId="2" fillId="27" borderId="4" xfId="0" applyNumberFormat="1" applyFont="1" applyFill="1" applyBorder="1" applyAlignment="1" applyProtection="1">
      <alignment vertical="center"/>
      <protection locked="0" hidden="1"/>
    </xf>
    <xf numFmtId="3" fontId="2" fillId="38" borderId="4" xfId="0" applyNumberFormat="1" applyFont="1" applyFill="1" applyBorder="1" applyAlignment="1" applyProtection="1">
      <alignment vertical="center"/>
      <protection locked="0" hidden="1"/>
    </xf>
    <xf numFmtId="3" fontId="2" fillId="59" borderId="4" xfId="0" applyNumberFormat="1" applyFont="1" applyFill="1" applyBorder="1" applyAlignment="1" applyProtection="1">
      <alignment vertical="center"/>
      <protection locked="0" hidden="1"/>
    </xf>
    <xf numFmtId="3" fontId="2" fillId="60" borderId="4" xfId="0" applyNumberFormat="1" applyFont="1" applyFill="1" applyBorder="1" applyAlignment="1" applyProtection="1">
      <alignment vertical="center"/>
      <protection locked="0" hidden="1"/>
    </xf>
    <xf numFmtId="3" fontId="2" fillId="51" borderId="4" xfId="0" applyNumberFormat="1" applyFont="1" applyFill="1" applyBorder="1" applyAlignment="1" applyProtection="1">
      <alignment vertical="center"/>
      <protection locked="0" hidden="1"/>
    </xf>
    <xf numFmtId="3" fontId="2" fillId="47" borderId="4" xfId="0" applyNumberFormat="1" applyFont="1" applyFill="1" applyBorder="1" applyAlignment="1" applyProtection="1">
      <alignment vertical="center"/>
      <protection locked="0" hidden="1"/>
    </xf>
    <xf numFmtId="3" fontId="2" fillId="33" borderId="4" xfId="0" applyNumberFormat="1" applyFont="1" applyFill="1" applyBorder="1" applyAlignment="1" applyProtection="1">
      <alignment vertical="center"/>
      <protection locked="0" hidden="1"/>
    </xf>
    <xf numFmtId="3" fontId="2" fillId="57" borderId="4" xfId="0" applyNumberFormat="1" applyFont="1" applyFill="1" applyBorder="1" applyAlignment="1" applyProtection="1">
      <alignment vertical="center"/>
      <protection locked="0" hidden="1"/>
    </xf>
    <xf numFmtId="3" fontId="2" fillId="30" borderId="4" xfId="0" applyNumberFormat="1" applyFont="1" applyFill="1" applyBorder="1" applyAlignment="1" applyProtection="1">
      <alignment vertical="center"/>
      <protection locked="0" hidden="1"/>
    </xf>
    <xf numFmtId="3" fontId="2" fillId="31" borderId="4" xfId="0" applyNumberFormat="1" applyFont="1" applyFill="1" applyBorder="1" applyAlignment="1" applyProtection="1">
      <alignment vertical="center"/>
      <protection locked="0" hidden="1"/>
    </xf>
    <xf numFmtId="3" fontId="2" fillId="26" borderId="4" xfId="0" applyNumberFormat="1" applyFont="1" applyFill="1" applyBorder="1" applyAlignment="1" applyProtection="1">
      <alignment vertical="center"/>
      <protection locked="0" hidden="1"/>
    </xf>
    <xf numFmtId="3" fontId="2" fillId="29" borderId="4" xfId="0" applyNumberFormat="1" applyFont="1" applyFill="1" applyBorder="1" applyAlignment="1" applyProtection="1">
      <alignment vertical="center"/>
      <protection locked="0" hidden="1"/>
    </xf>
    <xf numFmtId="3" fontId="2" fillId="25" borderId="4" xfId="0" applyNumberFormat="1" applyFont="1" applyFill="1" applyBorder="1" applyAlignment="1" applyProtection="1">
      <alignment vertical="center"/>
      <protection locked="0" hidden="1"/>
    </xf>
    <xf numFmtId="3" fontId="2" fillId="34" borderId="4" xfId="0" applyNumberFormat="1" applyFont="1" applyFill="1" applyBorder="1" applyAlignment="1" applyProtection="1">
      <alignment vertical="center"/>
      <protection locked="0" hidden="1"/>
    </xf>
    <xf numFmtId="3" fontId="2" fillId="52" borderId="4" xfId="0" applyNumberFormat="1" applyFont="1" applyFill="1" applyBorder="1" applyAlignment="1" applyProtection="1">
      <alignment vertical="center"/>
      <protection locked="0" hidden="1"/>
    </xf>
    <xf numFmtId="3" fontId="2" fillId="37" borderId="4" xfId="0" applyNumberFormat="1" applyFont="1" applyFill="1" applyBorder="1" applyAlignment="1" applyProtection="1">
      <alignment vertical="center"/>
      <protection locked="0" hidden="1"/>
    </xf>
    <xf numFmtId="3" fontId="2" fillId="54" borderId="4" xfId="0" applyNumberFormat="1" applyFont="1" applyFill="1" applyBorder="1" applyAlignment="1" applyProtection="1">
      <alignment vertical="center"/>
      <protection locked="0" hidden="1"/>
    </xf>
    <xf numFmtId="3" fontId="2" fillId="50" borderId="4" xfId="0" applyNumberFormat="1" applyFont="1" applyFill="1" applyBorder="1" applyAlignment="1" applyProtection="1">
      <alignment vertical="center"/>
      <protection locked="0" hidden="1"/>
    </xf>
    <xf numFmtId="3" fontId="2" fillId="53" borderId="4" xfId="0" applyNumberFormat="1" applyFont="1" applyFill="1" applyBorder="1" applyAlignment="1" applyProtection="1">
      <alignment vertical="center"/>
      <protection locked="0" hidden="1"/>
    </xf>
    <xf numFmtId="3" fontId="2" fillId="61" borderId="4" xfId="0" applyNumberFormat="1" applyFont="1" applyFill="1" applyBorder="1" applyAlignment="1" applyProtection="1">
      <alignment vertical="center"/>
      <protection locked="0" hidden="1"/>
    </xf>
    <xf numFmtId="3" fontId="2" fillId="42" borderId="4" xfId="0" applyNumberFormat="1" applyFont="1" applyFill="1" applyBorder="1" applyAlignment="1" applyProtection="1">
      <alignment vertical="center"/>
      <protection locked="0" hidden="1"/>
    </xf>
    <xf numFmtId="3" fontId="2" fillId="39" borderId="4" xfId="0" applyNumberFormat="1" applyFont="1" applyFill="1" applyBorder="1" applyAlignment="1" applyProtection="1">
      <alignment vertical="center"/>
      <protection locked="0" hidden="1"/>
    </xf>
    <xf numFmtId="3" fontId="2" fillId="28" borderId="4" xfId="0" applyNumberFormat="1" applyFont="1" applyFill="1" applyBorder="1" applyAlignment="1" applyProtection="1">
      <alignment vertical="center"/>
      <protection locked="0" hidden="1"/>
    </xf>
    <xf numFmtId="3" fontId="2" fillId="55" borderId="4" xfId="0" applyNumberFormat="1" applyFont="1" applyFill="1" applyBorder="1" applyAlignment="1" applyProtection="1">
      <alignment vertical="center"/>
      <protection locked="0" hidden="1"/>
    </xf>
    <xf numFmtId="3" fontId="2" fillId="45" borderId="4" xfId="0" applyNumberFormat="1" applyFont="1" applyFill="1" applyBorder="1" applyAlignment="1" applyProtection="1">
      <alignment vertical="center"/>
      <protection locked="0" hidden="1"/>
    </xf>
    <xf numFmtId="3" fontId="2" fillId="43" borderId="4" xfId="0" applyNumberFormat="1" applyFont="1" applyFill="1" applyBorder="1" applyAlignment="1" applyProtection="1">
      <alignment vertical="center"/>
      <protection locked="0" hidden="1"/>
    </xf>
    <xf numFmtId="3" fontId="2" fillId="56" borderId="4" xfId="0" applyNumberFormat="1" applyFont="1" applyFill="1" applyBorder="1" applyAlignment="1" applyProtection="1">
      <alignment vertical="center"/>
      <protection locked="0" hidden="1"/>
    </xf>
    <xf numFmtId="3" fontId="2" fillId="58" borderId="1" xfId="0" applyNumberFormat="1" applyFont="1" applyFill="1" applyBorder="1" applyAlignment="1" applyProtection="1">
      <alignment vertical="center"/>
      <protection locked="0" hidden="1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DDDDDD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371475</xdr:colOff>
      <xdr:row>32</xdr:row>
      <xdr:rowOff>85725</xdr:rowOff>
    </xdr:from>
    <xdr:to>
      <xdr:col>5</xdr:col>
      <xdr:colOff>514350</xdr:colOff>
      <xdr:row>34</xdr:row>
      <xdr:rowOff>85725</xdr:rowOff>
    </xdr:to>
    <xdr:sp macro="" textlink="">
      <xdr:nvSpPr>
        <xdr:cNvPr id="25645" name="S_ALB"/>
        <xdr:cNvSpPr>
          <a:spLocks noChangeAspect="1"/>
        </xdr:cNvSpPr>
      </xdr:nvSpPr>
      <xdr:spPr bwMode="auto">
        <a:xfrm>
          <a:off x="3343275" y="5276850"/>
          <a:ext cx="142875" cy="323850"/>
        </a:xfrm>
        <a:custGeom>
          <a:avLst/>
          <a:gdLst>
            <a:gd name="T0" fmla="*/ 48143 w 92"/>
            <a:gd name="T1" fmla="*/ 323850 h 203"/>
            <a:gd name="T2" fmla="*/ 21742 w 92"/>
            <a:gd name="T3" fmla="*/ 296730 h 203"/>
            <a:gd name="T4" fmla="*/ 37272 w 92"/>
            <a:gd name="T5" fmla="*/ 271204 h 203"/>
            <a:gd name="T6" fmla="*/ 0 w 92"/>
            <a:gd name="T7" fmla="*/ 228131 h 203"/>
            <a:gd name="T8" fmla="*/ 0 w 92"/>
            <a:gd name="T9" fmla="*/ 196224 h 203"/>
            <a:gd name="T10" fmla="*/ 4659 w 92"/>
            <a:gd name="T11" fmla="*/ 175485 h 203"/>
            <a:gd name="T12" fmla="*/ 10871 w 92"/>
            <a:gd name="T13" fmla="*/ 84552 h 203"/>
            <a:gd name="T14" fmla="*/ 21742 w 92"/>
            <a:gd name="T15" fmla="*/ 68599 h 203"/>
            <a:gd name="T16" fmla="*/ 4659 w 92"/>
            <a:gd name="T17" fmla="*/ 52646 h 203"/>
            <a:gd name="T18" fmla="*/ 15530 w 92"/>
            <a:gd name="T19" fmla="*/ 0 h 203"/>
            <a:gd name="T20" fmla="*/ 68332 w 92"/>
            <a:gd name="T21" fmla="*/ 20739 h 203"/>
            <a:gd name="T22" fmla="*/ 90073 w 92"/>
            <a:gd name="T23" fmla="*/ 52646 h 203"/>
            <a:gd name="T24" fmla="*/ 100944 w 92"/>
            <a:gd name="T25" fmla="*/ 68599 h 203"/>
            <a:gd name="T26" fmla="*/ 111815 w 92"/>
            <a:gd name="T27" fmla="*/ 169104 h 203"/>
            <a:gd name="T28" fmla="*/ 138216 w 92"/>
            <a:gd name="T29" fmla="*/ 189843 h 203"/>
            <a:gd name="T30" fmla="*/ 142875 w 92"/>
            <a:gd name="T31" fmla="*/ 196224 h 203"/>
            <a:gd name="T32" fmla="*/ 85414 w 92"/>
            <a:gd name="T33" fmla="*/ 275990 h 203"/>
            <a:gd name="T34" fmla="*/ 79202 w 92"/>
            <a:gd name="T35" fmla="*/ 319064 h 203"/>
            <a:gd name="T36" fmla="*/ 48143 w 92"/>
            <a:gd name="T37" fmla="*/ 323850 h 203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w 92"/>
            <a:gd name="T58" fmla="*/ 0 h 203"/>
            <a:gd name="T59" fmla="*/ 92 w 92"/>
            <a:gd name="T60" fmla="*/ 203 h 203"/>
          </a:gdLst>
          <a:ahLst/>
          <a:cxnLst>
            <a:cxn ang="T38">
              <a:pos x="T0" y="T1"/>
            </a:cxn>
            <a:cxn ang="T39">
              <a:pos x="T2" y="T3"/>
            </a:cxn>
            <a:cxn ang="T40">
              <a:pos x="T4" y="T5"/>
            </a:cxn>
            <a:cxn ang="T41">
              <a:pos x="T6" y="T7"/>
            </a:cxn>
            <a:cxn ang="T42">
              <a:pos x="T8" y="T9"/>
            </a:cxn>
            <a:cxn ang="T43">
              <a:pos x="T10" y="T11"/>
            </a:cxn>
            <a:cxn ang="T44">
              <a:pos x="T12" y="T13"/>
            </a:cxn>
            <a:cxn ang="T45">
              <a:pos x="T14" y="T15"/>
            </a:cxn>
            <a:cxn ang="T46">
              <a:pos x="T16" y="T17"/>
            </a:cxn>
            <a:cxn ang="T47">
              <a:pos x="T18" y="T19"/>
            </a:cxn>
            <a:cxn ang="T48">
              <a:pos x="T20" y="T21"/>
            </a:cxn>
            <a:cxn ang="T49">
              <a:pos x="T22" y="T23"/>
            </a:cxn>
            <a:cxn ang="T50">
              <a:pos x="T24" y="T25"/>
            </a:cxn>
            <a:cxn ang="T51">
              <a:pos x="T26" y="T27"/>
            </a:cxn>
            <a:cxn ang="T52">
              <a:pos x="T28" y="T29"/>
            </a:cxn>
            <a:cxn ang="T53">
              <a:pos x="T30" y="T31"/>
            </a:cxn>
            <a:cxn ang="T54">
              <a:pos x="T32" y="T33"/>
            </a:cxn>
            <a:cxn ang="T55">
              <a:pos x="T34" y="T35"/>
            </a:cxn>
            <a:cxn ang="T56">
              <a:pos x="T36" y="T37"/>
            </a:cxn>
          </a:cxnLst>
          <a:rect l="T57" t="T58" r="T59" b="T60"/>
          <a:pathLst>
            <a:path w="92" h="203">
              <a:moveTo>
                <a:pt x="31" y="203"/>
              </a:moveTo>
              <a:lnTo>
                <a:pt x="14" y="186"/>
              </a:lnTo>
              <a:lnTo>
                <a:pt x="24" y="170"/>
              </a:lnTo>
              <a:lnTo>
                <a:pt x="0" y="143"/>
              </a:lnTo>
              <a:lnTo>
                <a:pt x="0" y="123"/>
              </a:lnTo>
              <a:lnTo>
                <a:pt x="3" y="110"/>
              </a:lnTo>
              <a:lnTo>
                <a:pt x="7" y="53"/>
              </a:lnTo>
              <a:lnTo>
                <a:pt x="14" y="43"/>
              </a:lnTo>
              <a:lnTo>
                <a:pt x="3" y="33"/>
              </a:lnTo>
              <a:lnTo>
                <a:pt x="10" y="0"/>
              </a:lnTo>
              <a:lnTo>
                <a:pt x="44" y="13"/>
              </a:lnTo>
              <a:lnTo>
                <a:pt x="58" y="33"/>
              </a:lnTo>
              <a:lnTo>
                <a:pt x="65" y="43"/>
              </a:lnTo>
              <a:lnTo>
                <a:pt x="72" y="106"/>
              </a:lnTo>
              <a:lnTo>
                <a:pt x="89" y="119"/>
              </a:lnTo>
              <a:lnTo>
                <a:pt x="92" y="123"/>
              </a:lnTo>
              <a:lnTo>
                <a:pt x="55" y="173"/>
              </a:lnTo>
              <a:lnTo>
                <a:pt x="51" y="200"/>
              </a:lnTo>
              <a:lnTo>
                <a:pt x="31" y="203"/>
              </a:lnTo>
            </a:path>
          </a:pathLst>
        </a:custGeom>
        <a:solidFill>
          <a:srgbClr val="D3E2F5"/>
        </a:solidFill>
        <a:ln w="3175">
          <a:solidFill>
            <a:srgbClr val="D3E2F5"/>
          </a:solidFill>
          <a:round/>
          <a:headEnd/>
          <a:tailEnd/>
        </a:ln>
      </xdr:spPr>
    </xdr:sp>
    <xdr:clientData/>
  </xdr:twoCellAnchor>
  <xdr:twoCellAnchor>
    <xdr:from>
      <xdr:col>5</xdr:col>
      <xdr:colOff>581025</xdr:colOff>
      <xdr:row>31</xdr:row>
      <xdr:rowOff>66675</xdr:rowOff>
    </xdr:from>
    <xdr:to>
      <xdr:col>6</xdr:col>
      <xdr:colOff>352425</xdr:colOff>
      <xdr:row>33</xdr:row>
      <xdr:rowOff>66675</xdr:rowOff>
    </xdr:to>
    <xdr:sp macro="" textlink="">
      <xdr:nvSpPr>
        <xdr:cNvPr id="25646" name="S_BGR"/>
        <xdr:cNvSpPr>
          <a:spLocks noChangeAspect="1"/>
        </xdr:cNvSpPr>
      </xdr:nvSpPr>
      <xdr:spPr bwMode="auto">
        <a:xfrm>
          <a:off x="3552825" y="5095875"/>
          <a:ext cx="485775" cy="323850"/>
        </a:xfrm>
        <a:custGeom>
          <a:avLst/>
          <a:gdLst>
            <a:gd name="T0" fmla="*/ 485775 w 303"/>
            <a:gd name="T1" fmla="*/ 57886 h 207"/>
            <a:gd name="T2" fmla="*/ 480965 w 303"/>
            <a:gd name="T3" fmla="*/ 89176 h 207"/>
            <a:gd name="T4" fmla="*/ 447298 w 303"/>
            <a:gd name="T5" fmla="*/ 93870 h 207"/>
            <a:gd name="T6" fmla="*/ 440885 w 303"/>
            <a:gd name="T7" fmla="*/ 145498 h 207"/>
            <a:gd name="T8" fmla="*/ 402408 w 303"/>
            <a:gd name="T9" fmla="*/ 172094 h 207"/>
            <a:gd name="T10" fmla="*/ 440885 w 303"/>
            <a:gd name="T11" fmla="*/ 178352 h 207"/>
            <a:gd name="T12" fmla="*/ 458520 w 303"/>
            <a:gd name="T13" fmla="*/ 234674 h 207"/>
            <a:gd name="T14" fmla="*/ 413630 w 303"/>
            <a:gd name="T15" fmla="*/ 245625 h 207"/>
            <a:gd name="T16" fmla="*/ 384772 w 303"/>
            <a:gd name="T17" fmla="*/ 225287 h 207"/>
            <a:gd name="T18" fmla="*/ 301405 w 303"/>
            <a:gd name="T19" fmla="*/ 265964 h 207"/>
            <a:gd name="T20" fmla="*/ 285373 w 303"/>
            <a:gd name="T21" fmla="*/ 312899 h 207"/>
            <a:gd name="T22" fmla="*/ 222847 w 303"/>
            <a:gd name="T23" fmla="*/ 323850 h 207"/>
            <a:gd name="T24" fmla="*/ 174751 w 303"/>
            <a:gd name="T25" fmla="*/ 283173 h 207"/>
            <a:gd name="T26" fmla="*/ 137877 w 303"/>
            <a:gd name="T27" fmla="*/ 311334 h 207"/>
            <a:gd name="T28" fmla="*/ 56113 w 303"/>
            <a:gd name="T29" fmla="*/ 312899 h 207"/>
            <a:gd name="T30" fmla="*/ 60922 w 303"/>
            <a:gd name="T31" fmla="*/ 250319 h 207"/>
            <a:gd name="T32" fmla="*/ 16032 w 303"/>
            <a:gd name="T33" fmla="*/ 219029 h 207"/>
            <a:gd name="T34" fmla="*/ 4810 w 303"/>
            <a:gd name="T35" fmla="*/ 162707 h 207"/>
            <a:gd name="T36" fmla="*/ 60922 w 303"/>
            <a:gd name="T37" fmla="*/ 151756 h 207"/>
            <a:gd name="T38" fmla="*/ 72145 w 303"/>
            <a:gd name="T39" fmla="*/ 129853 h 207"/>
            <a:gd name="T40" fmla="*/ 0 w 303"/>
            <a:gd name="T41" fmla="*/ 89176 h 207"/>
            <a:gd name="T42" fmla="*/ 11223 w 303"/>
            <a:gd name="T43" fmla="*/ 0 h 207"/>
            <a:gd name="T44" fmla="*/ 33668 w 303"/>
            <a:gd name="T45" fmla="*/ 0 h 207"/>
            <a:gd name="T46" fmla="*/ 33668 w 303"/>
            <a:gd name="T47" fmla="*/ 31290 h 207"/>
            <a:gd name="T48" fmla="*/ 128257 w 303"/>
            <a:gd name="T49" fmla="*/ 62580 h 207"/>
            <a:gd name="T50" fmla="*/ 189180 w 303"/>
            <a:gd name="T51" fmla="*/ 73531 h 207"/>
            <a:gd name="T52" fmla="*/ 262928 w 303"/>
            <a:gd name="T53" fmla="*/ 73531 h 207"/>
            <a:gd name="T54" fmla="*/ 319040 w 303"/>
            <a:gd name="T55" fmla="*/ 35983 h 207"/>
            <a:gd name="T56" fmla="*/ 395995 w 303"/>
            <a:gd name="T57" fmla="*/ 20338 h 207"/>
            <a:gd name="T58" fmla="*/ 485775 w 303"/>
            <a:gd name="T59" fmla="*/ 57886 h 207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w 303"/>
            <a:gd name="T91" fmla="*/ 0 h 207"/>
            <a:gd name="T92" fmla="*/ 303 w 303"/>
            <a:gd name="T93" fmla="*/ 207 h 207"/>
          </a:gdLst>
          <a:ahLst/>
          <a:cxnLst>
            <a:cxn ang="T60">
              <a:pos x="T0" y="T1"/>
            </a:cxn>
            <a:cxn ang="T61">
              <a:pos x="T2" y="T3"/>
            </a:cxn>
            <a:cxn ang="T62">
              <a:pos x="T4" y="T5"/>
            </a:cxn>
            <a:cxn ang="T63">
              <a:pos x="T6" y="T7"/>
            </a:cxn>
            <a:cxn ang="T64">
              <a:pos x="T8" y="T9"/>
            </a:cxn>
            <a:cxn ang="T65">
              <a:pos x="T10" y="T11"/>
            </a:cxn>
            <a:cxn ang="T66">
              <a:pos x="T12" y="T13"/>
            </a:cxn>
            <a:cxn ang="T67">
              <a:pos x="T14" y="T15"/>
            </a:cxn>
            <a:cxn ang="T68">
              <a:pos x="T16" y="T17"/>
            </a:cxn>
            <a:cxn ang="T69">
              <a:pos x="T18" y="T19"/>
            </a:cxn>
            <a:cxn ang="T70">
              <a:pos x="T20" y="T21"/>
            </a:cxn>
            <a:cxn ang="T71">
              <a:pos x="T22" y="T23"/>
            </a:cxn>
            <a:cxn ang="T72">
              <a:pos x="T24" y="T25"/>
            </a:cxn>
            <a:cxn ang="T73">
              <a:pos x="T26" y="T27"/>
            </a:cxn>
            <a:cxn ang="T74">
              <a:pos x="T28" y="T29"/>
            </a:cxn>
            <a:cxn ang="T75">
              <a:pos x="T30" y="T31"/>
            </a:cxn>
            <a:cxn ang="T76">
              <a:pos x="T32" y="T33"/>
            </a:cxn>
            <a:cxn ang="T77">
              <a:pos x="T34" y="T35"/>
            </a:cxn>
            <a:cxn ang="T78">
              <a:pos x="T36" y="T37"/>
            </a:cxn>
            <a:cxn ang="T79">
              <a:pos x="T38" y="T39"/>
            </a:cxn>
            <a:cxn ang="T80">
              <a:pos x="T40" y="T41"/>
            </a:cxn>
            <a:cxn ang="T81">
              <a:pos x="T42" y="T43"/>
            </a:cxn>
            <a:cxn ang="T82">
              <a:pos x="T44" y="T45"/>
            </a:cxn>
            <a:cxn ang="T83">
              <a:pos x="T46" y="T47"/>
            </a:cxn>
            <a:cxn ang="T84">
              <a:pos x="T48" y="T49"/>
            </a:cxn>
            <a:cxn ang="T85">
              <a:pos x="T50" y="T51"/>
            </a:cxn>
            <a:cxn ang="T86">
              <a:pos x="T52" y="T53"/>
            </a:cxn>
            <a:cxn ang="T87">
              <a:pos x="T54" y="T55"/>
            </a:cxn>
            <a:cxn ang="T88">
              <a:pos x="T56" y="T57"/>
            </a:cxn>
            <a:cxn ang="T89">
              <a:pos x="T58" y="T59"/>
            </a:cxn>
          </a:cxnLst>
          <a:rect l="T90" t="T91" r="T92" b="T93"/>
          <a:pathLst>
            <a:path w="303" h="207">
              <a:moveTo>
                <a:pt x="303" y="37"/>
              </a:moveTo>
              <a:lnTo>
                <a:pt x="300" y="57"/>
              </a:lnTo>
              <a:lnTo>
                <a:pt x="279" y="60"/>
              </a:lnTo>
              <a:lnTo>
                <a:pt x="275" y="93"/>
              </a:lnTo>
              <a:lnTo>
                <a:pt x="251" y="110"/>
              </a:lnTo>
              <a:lnTo>
                <a:pt x="275" y="114"/>
              </a:lnTo>
              <a:lnTo>
                <a:pt x="286" y="150"/>
              </a:lnTo>
              <a:lnTo>
                <a:pt x="258" y="157"/>
              </a:lnTo>
              <a:lnTo>
                <a:pt x="240" y="144"/>
              </a:lnTo>
              <a:lnTo>
                <a:pt x="188" y="170"/>
              </a:lnTo>
              <a:lnTo>
                <a:pt x="178" y="200"/>
              </a:lnTo>
              <a:lnTo>
                <a:pt x="139" y="207"/>
              </a:lnTo>
              <a:lnTo>
                <a:pt x="109" y="181"/>
              </a:lnTo>
              <a:lnTo>
                <a:pt x="86" y="199"/>
              </a:lnTo>
              <a:lnTo>
                <a:pt x="35" y="200"/>
              </a:lnTo>
              <a:lnTo>
                <a:pt x="38" y="160"/>
              </a:lnTo>
              <a:lnTo>
                <a:pt x="10" y="140"/>
              </a:lnTo>
              <a:lnTo>
                <a:pt x="3" y="104"/>
              </a:lnTo>
              <a:lnTo>
                <a:pt x="38" y="97"/>
              </a:lnTo>
              <a:lnTo>
                <a:pt x="45" y="83"/>
              </a:lnTo>
              <a:lnTo>
                <a:pt x="0" y="57"/>
              </a:lnTo>
              <a:lnTo>
                <a:pt x="7" y="0"/>
              </a:lnTo>
              <a:lnTo>
                <a:pt x="21" y="0"/>
              </a:lnTo>
              <a:lnTo>
                <a:pt x="21" y="20"/>
              </a:lnTo>
              <a:lnTo>
                <a:pt x="80" y="40"/>
              </a:lnTo>
              <a:lnTo>
                <a:pt x="118" y="47"/>
              </a:lnTo>
              <a:lnTo>
                <a:pt x="164" y="47"/>
              </a:lnTo>
              <a:lnTo>
                <a:pt x="199" y="23"/>
              </a:lnTo>
              <a:lnTo>
                <a:pt x="247" y="13"/>
              </a:lnTo>
              <a:lnTo>
                <a:pt x="303" y="37"/>
              </a:lnTo>
            </a:path>
          </a:pathLst>
        </a:custGeom>
        <a:solidFill>
          <a:srgbClr val="9ABDE7"/>
        </a:solidFill>
        <a:ln w="3175">
          <a:solidFill>
            <a:srgbClr val="9ABDE7"/>
          </a:solidFill>
          <a:round/>
          <a:headEnd/>
          <a:tailEnd/>
        </a:ln>
      </xdr:spPr>
    </xdr:sp>
    <xdr:clientData/>
  </xdr:twoCellAnchor>
  <xdr:twoCellAnchor>
    <xdr:from>
      <xdr:col>5</xdr:col>
      <xdr:colOff>657225</xdr:colOff>
      <xdr:row>18</xdr:row>
      <xdr:rowOff>142875</xdr:rowOff>
    </xdr:from>
    <xdr:to>
      <xdr:col>6</xdr:col>
      <xdr:colOff>333375</xdr:colOff>
      <xdr:row>20</xdr:row>
      <xdr:rowOff>152400</xdr:rowOff>
    </xdr:to>
    <xdr:sp macro="" textlink="">
      <xdr:nvSpPr>
        <xdr:cNvPr id="25647" name="S_EST"/>
        <xdr:cNvSpPr>
          <a:spLocks noChangeAspect="1"/>
        </xdr:cNvSpPr>
      </xdr:nvSpPr>
      <xdr:spPr bwMode="auto">
        <a:xfrm>
          <a:off x="3629025" y="3067050"/>
          <a:ext cx="390525" cy="333375"/>
        </a:xfrm>
        <a:custGeom>
          <a:avLst/>
          <a:gdLst>
            <a:gd name="T0" fmla="*/ 70135 w 245"/>
            <a:gd name="T1" fmla="*/ 265465 h 216"/>
            <a:gd name="T2" fmla="*/ 81293 w 245"/>
            <a:gd name="T3" fmla="*/ 189839 h 216"/>
            <a:gd name="T4" fmla="*/ 43037 w 245"/>
            <a:gd name="T5" fmla="*/ 189839 h 216"/>
            <a:gd name="T6" fmla="*/ 11158 w 245"/>
            <a:gd name="T7" fmla="*/ 163601 h 216"/>
            <a:gd name="T8" fmla="*/ 0 w 245"/>
            <a:gd name="T9" fmla="*/ 81800 h 216"/>
            <a:gd name="T10" fmla="*/ 76511 w 245"/>
            <a:gd name="T11" fmla="*/ 41672 h 216"/>
            <a:gd name="T12" fmla="*/ 239097 w 245"/>
            <a:gd name="T13" fmla="*/ 4630 h 216"/>
            <a:gd name="T14" fmla="*/ 347488 w 245"/>
            <a:gd name="T15" fmla="*/ 20064 h 216"/>
            <a:gd name="T16" fmla="*/ 363427 w 245"/>
            <a:gd name="T17" fmla="*/ 0 h 216"/>
            <a:gd name="T18" fmla="*/ 390525 w 245"/>
            <a:gd name="T19" fmla="*/ 30868 h 216"/>
            <a:gd name="T20" fmla="*/ 363427 w 245"/>
            <a:gd name="T21" fmla="*/ 92604 h 216"/>
            <a:gd name="T22" fmla="*/ 314014 w 245"/>
            <a:gd name="T23" fmla="*/ 117299 h 216"/>
            <a:gd name="T24" fmla="*/ 320390 w 245"/>
            <a:gd name="T25" fmla="*/ 163601 h 216"/>
            <a:gd name="T26" fmla="*/ 349082 w 245"/>
            <a:gd name="T27" fmla="*/ 177491 h 216"/>
            <a:gd name="T28" fmla="*/ 372991 w 245"/>
            <a:gd name="T29" fmla="*/ 209903 h 216"/>
            <a:gd name="T30" fmla="*/ 379367 w 245"/>
            <a:gd name="T31" fmla="*/ 271639 h 216"/>
            <a:gd name="T32" fmla="*/ 368209 w 245"/>
            <a:gd name="T33" fmla="*/ 287073 h 216"/>
            <a:gd name="T34" fmla="*/ 331548 w 245"/>
            <a:gd name="T35" fmla="*/ 324115 h 216"/>
            <a:gd name="T36" fmla="*/ 264601 w 245"/>
            <a:gd name="T37" fmla="*/ 297877 h 216"/>
            <a:gd name="T38" fmla="*/ 219969 w 245"/>
            <a:gd name="T39" fmla="*/ 333375 h 216"/>
            <a:gd name="T40" fmla="*/ 196059 w 245"/>
            <a:gd name="T41" fmla="*/ 274726 h 216"/>
            <a:gd name="T42" fmla="*/ 135488 w 245"/>
            <a:gd name="T43" fmla="*/ 237684 h 216"/>
            <a:gd name="T44" fmla="*/ 70135 w 245"/>
            <a:gd name="T45" fmla="*/ 265465 h 21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245"/>
            <a:gd name="T70" fmla="*/ 0 h 216"/>
            <a:gd name="T71" fmla="*/ 245 w 245"/>
            <a:gd name="T72" fmla="*/ 216 h 216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245" h="216">
              <a:moveTo>
                <a:pt x="44" y="172"/>
              </a:moveTo>
              <a:lnTo>
                <a:pt x="51" y="123"/>
              </a:lnTo>
              <a:lnTo>
                <a:pt x="27" y="123"/>
              </a:lnTo>
              <a:lnTo>
                <a:pt x="7" y="106"/>
              </a:lnTo>
              <a:lnTo>
                <a:pt x="0" y="53"/>
              </a:lnTo>
              <a:lnTo>
                <a:pt x="48" y="27"/>
              </a:lnTo>
              <a:lnTo>
                <a:pt x="150" y="3"/>
              </a:lnTo>
              <a:lnTo>
                <a:pt x="218" y="13"/>
              </a:lnTo>
              <a:lnTo>
                <a:pt x="228" y="0"/>
              </a:lnTo>
              <a:lnTo>
                <a:pt x="245" y="20"/>
              </a:lnTo>
              <a:lnTo>
                <a:pt x="228" y="60"/>
              </a:lnTo>
              <a:lnTo>
                <a:pt x="197" y="76"/>
              </a:lnTo>
              <a:lnTo>
                <a:pt x="201" y="106"/>
              </a:lnTo>
              <a:lnTo>
                <a:pt x="219" y="115"/>
              </a:lnTo>
              <a:lnTo>
                <a:pt x="234" y="136"/>
              </a:lnTo>
              <a:lnTo>
                <a:pt x="238" y="176"/>
              </a:lnTo>
              <a:lnTo>
                <a:pt x="231" y="186"/>
              </a:lnTo>
              <a:lnTo>
                <a:pt x="208" y="210"/>
              </a:lnTo>
              <a:lnTo>
                <a:pt x="166" y="193"/>
              </a:lnTo>
              <a:lnTo>
                <a:pt x="138" y="216"/>
              </a:lnTo>
              <a:lnTo>
                <a:pt x="123" y="178"/>
              </a:lnTo>
              <a:lnTo>
                <a:pt x="85" y="154"/>
              </a:lnTo>
              <a:lnTo>
                <a:pt x="44" y="172"/>
              </a:lnTo>
            </a:path>
          </a:pathLst>
        </a:custGeom>
        <a:solidFill>
          <a:srgbClr val="F3F7FC"/>
        </a:solidFill>
        <a:ln w="3175">
          <a:solidFill>
            <a:srgbClr val="F3F7FC"/>
          </a:solidFill>
          <a:round/>
          <a:headEnd/>
          <a:tailEnd/>
        </a:ln>
      </xdr:spPr>
    </xdr:sp>
    <xdr:clientData/>
  </xdr:twoCellAnchor>
  <xdr:twoCellAnchor>
    <xdr:from>
      <xdr:col>5</xdr:col>
      <xdr:colOff>371475</xdr:colOff>
      <xdr:row>4</xdr:row>
      <xdr:rowOff>152400</xdr:rowOff>
    </xdr:from>
    <xdr:to>
      <xdr:col>6</xdr:col>
      <xdr:colOff>609600</xdr:colOff>
      <xdr:row>19</xdr:row>
      <xdr:rowOff>133350</xdr:rowOff>
    </xdr:to>
    <xdr:grpSp>
      <xdr:nvGrpSpPr>
        <xdr:cNvPr id="25648" name="S_FIN"/>
        <xdr:cNvGrpSpPr>
          <a:grpSpLocks/>
        </xdr:cNvGrpSpPr>
      </xdr:nvGrpSpPr>
      <xdr:grpSpPr bwMode="auto">
        <a:xfrm>
          <a:off x="3343275" y="1238250"/>
          <a:ext cx="952500" cy="2409825"/>
          <a:chOff x="351" y="102"/>
          <a:chExt cx="100" cy="253"/>
        </a:xfrm>
      </xdr:grpSpPr>
      <xdr:sp macro="" textlink="">
        <xdr:nvSpPr>
          <xdr:cNvPr id="25714" name="S_FIN2"/>
          <xdr:cNvSpPr>
            <a:spLocks noChangeAspect="1"/>
          </xdr:cNvSpPr>
        </xdr:nvSpPr>
        <xdr:spPr bwMode="auto">
          <a:xfrm>
            <a:off x="362" y="341"/>
            <a:ext cx="11" cy="14"/>
          </a:xfrm>
          <a:custGeom>
            <a:avLst/>
            <a:gdLst>
              <a:gd name="T0" fmla="*/ 1 w 63"/>
              <a:gd name="T1" fmla="*/ 6 h 85"/>
              <a:gd name="T2" fmla="*/ 6 w 63"/>
              <a:gd name="T3" fmla="*/ 5 h 85"/>
              <a:gd name="T4" fmla="*/ 5 w 63"/>
              <a:gd name="T5" fmla="*/ 3 h 85"/>
              <a:gd name="T6" fmla="*/ 3 w 63"/>
              <a:gd name="T7" fmla="*/ 2 h 85"/>
              <a:gd name="T8" fmla="*/ 6 w 63"/>
              <a:gd name="T9" fmla="*/ 0 h 85"/>
              <a:gd name="T10" fmla="*/ 9 w 63"/>
              <a:gd name="T11" fmla="*/ 2 h 85"/>
              <a:gd name="T12" fmla="*/ 6 w 63"/>
              <a:gd name="T13" fmla="*/ 4 h 85"/>
              <a:gd name="T14" fmla="*/ 9 w 63"/>
              <a:gd name="T15" fmla="*/ 5 h 85"/>
              <a:gd name="T16" fmla="*/ 10 w 63"/>
              <a:gd name="T17" fmla="*/ 4 h 85"/>
              <a:gd name="T18" fmla="*/ 11 w 63"/>
              <a:gd name="T19" fmla="*/ 6 h 85"/>
              <a:gd name="T20" fmla="*/ 6 w 63"/>
              <a:gd name="T21" fmla="*/ 10 h 85"/>
              <a:gd name="T22" fmla="*/ 3 w 63"/>
              <a:gd name="T23" fmla="*/ 10 h 85"/>
              <a:gd name="T24" fmla="*/ 2 w 63"/>
              <a:gd name="T25" fmla="*/ 14 h 85"/>
              <a:gd name="T26" fmla="*/ 0 w 63"/>
              <a:gd name="T27" fmla="*/ 13 h 85"/>
              <a:gd name="T28" fmla="*/ 2 w 63"/>
              <a:gd name="T29" fmla="*/ 10 h 85"/>
              <a:gd name="T30" fmla="*/ 1 w 63"/>
              <a:gd name="T31" fmla="*/ 9 h 85"/>
              <a:gd name="T32" fmla="*/ 1 w 63"/>
              <a:gd name="T33" fmla="*/ 6 h 85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w 63"/>
              <a:gd name="T52" fmla="*/ 0 h 85"/>
              <a:gd name="T53" fmla="*/ 63 w 63"/>
              <a:gd name="T54" fmla="*/ 85 h 85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T51" t="T52" r="T53" b="T54"/>
            <a:pathLst>
              <a:path w="63" h="85">
                <a:moveTo>
                  <a:pt x="8" y="39"/>
                </a:moveTo>
                <a:lnTo>
                  <a:pt x="34" y="31"/>
                </a:lnTo>
                <a:lnTo>
                  <a:pt x="31" y="20"/>
                </a:lnTo>
                <a:lnTo>
                  <a:pt x="16" y="11"/>
                </a:lnTo>
                <a:lnTo>
                  <a:pt x="34" y="0"/>
                </a:lnTo>
                <a:lnTo>
                  <a:pt x="54" y="11"/>
                </a:lnTo>
                <a:lnTo>
                  <a:pt x="34" y="25"/>
                </a:lnTo>
                <a:lnTo>
                  <a:pt x="49" y="28"/>
                </a:lnTo>
                <a:lnTo>
                  <a:pt x="59" y="22"/>
                </a:lnTo>
                <a:lnTo>
                  <a:pt x="62" y="39"/>
                </a:lnTo>
                <a:lnTo>
                  <a:pt x="36" y="62"/>
                </a:lnTo>
                <a:lnTo>
                  <a:pt x="18" y="62"/>
                </a:lnTo>
                <a:lnTo>
                  <a:pt x="10" y="84"/>
                </a:lnTo>
                <a:lnTo>
                  <a:pt x="0" y="78"/>
                </a:lnTo>
                <a:lnTo>
                  <a:pt x="10" y="59"/>
                </a:lnTo>
                <a:lnTo>
                  <a:pt x="3" y="53"/>
                </a:lnTo>
                <a:lnTo>
                  <a:pt x="8" y="39"/>
                </a:lnTo>
              </a:path>
            </a:pathLst>
          </a:custGeom>
          <a:solidFill>
            <a:srgbClr val="ADC9EB"/>
          </a:solidFill>
          <a:ln w="3175">
            <a:solidFill>
              <a:srgbClr val="ADC9EB"/>
            </a:solidFill>
            <a:round/>
            <a:headEnd/>
            <a:tailEnd/>
          </a:ln>
        </xdr:spPr>
      </xdr:sp>
      <xdr:sp macro="" textlink="">
        <xdr:nvSpPr>
          <xdr:cNvPr id="25715" name="S_FIN1"/>
          <xdr:cNvSpPr>
            <a:spLocks noChangeAspect="1"/>
          </xdr:cNvSpPr>
        </xdr:nvSpPr>
        <xdr:spPr bwMode="auto">
          <a:xfrm>
            <a:off x="351" y="102"/>
            <a:ext cx="100" cy="222"/>
          </a:xfrm>
          <a:custGeom>
            <a:avLst/>
            <a:gdLst>
              <a:gd name="T0" fmla="*/ 65 w 598"/>
              <a:gd name="T1" fmla="*/ 211 h 1362"/>
              <a:gd name="T2" fmla="*/ 57 w 598"/>
              <a:gd name="T3" fmla="*/ 212 h 1362"/>
              <a:gd name="T4" fmla="*/ 50 w 598"/>
              <a:gd name="T5" fmla="*/ 210 h 1362"/>
              <a:gd name="T6" fmla="*/ 41 w 598"/>
              <a:gd name="T7" fmla="*/ 212 h 1362"/>
              <a:gd name="T8" fmla="*/ 35 w 598"/>
              <a:gd name="T9" fmla="*/ 218 h 1362"/>
              <a:gd name="T10" fmla="*/ 27 w 598"/>
              <a:gd name="T11" fmla="*/ 216 h 1362"/>
              <a:gd name="T12" fmla="*/ 20 w 598"/>
              <a:gd name="T13" fmla="*/ 222 h 1362"/>
              <a:gd name="T14" fmla="*/ 20 w 598"/>
              <a:gd name="T15" fmla="*/ 218 h 1362"/>
              <a:gd name="T16" fmla="*/ 21 w 598"/>
              <a:gd name="T17" fmla="*/ 212 h 1362"/>
              <a:gd name="T18" fmla="*/ 18 w 598"/>
              <a:gd name="T19" fmla="*/ 210 h 1362"/>
              <a:gd name="T20" fmla="*/ 9 w 598"/>
              <a:gd name="T21" fmla="*/ 203 h 1362"/>
              <a:gd name="T22" fmla="*/ 9 w 598"/>
              <a:gd name="T23" fmla="*/ 185 h 1362"/>
              <a:gd name="T24" fmla="*/ 6 w 598"/>
              <a:gd name="T25" fmla="*/ 169 h 1362"/>
              <a:gd name="T26" fmla="*/ 8 w 598"/>
              <a:gd name="T27" fmla="*/ 154 h 1362"/>
              <a:gd name="T28" fmla="*/ 18 w 598"/>
              <a:gd name="T29" fmla="*/ 145 h 1362"/>
              <a:gd name="T30" fmla="*/ 43 w 598"/>
              <a:gd name="T31" fmla="*/ 122 h 1362"/>
              <a:gd name="T32" fmla="*/ 43 w 598"/>
              <a:gd name="T33" fmla="*/ 112 h 1362"/>
              <a:gd name="T34" fmla="*/ 33 w 598"/>
              <a:gd name="T35" fmla="*/ 102 h 1362"/>
              <a:gd name="T36" fmla="*/ 31 w 598"/>
              <a:gd name="T37" fmla="*/ 86 h 1362"/>
              <a:gd name="T38" fmla="*/ 29 w 598"/>
              <a:gd name="T39" fmla="*/ 60 h 1362"/>
              <a:gd name="T40" fmla="*/ 23 w 598"/>
              <a:gd name="T41" fmla="*/ 39 h 1362"/>
              <a:gd name="T42" fmla="*/ 1 w 598"/>
              <a:gd name="T43" fmla="*/ 24 h 1362"/>
              <a:gd name="T44" fmla="*/ 5 w 598"/>
              <a:gd name="T45" fmla="*/ 23 h 1362"/>
              <a:gd name="T46" fmla="*/ 11 w 598"/>
              <a:gd name="T47" fmla="*/ 20 h 1362"/>
              <a:gd name="T48" fmla="*/ 31 w 598"/>
              <a:gd name="T49" fmla="*/ 32 h 1362"/>
              <a:gd name="T50" fmla="*/ 46 w 598"/>
              <a:gd name="T51" fmla="*/ 28 h 1362"/>
              <a:gd name="T52" fmla="*/ 55 w 598"/>
              <a:gd name="T53" fmla="*/ 2 h 1362"/>
              <a:gd name="T54" fmla="*/ 70 w 598"/>
              <a:gd name="T55" fmla="*/ 5 h 1362"/>
              <a:gd name="T56" fmla="*/ 76 w 598"/>
              <a:gd name="T57" fmla="*/ 11 h 1362"/>
              <a:gd name="T58" fmla="*/ 69 w 598"/>
              <a:gd name="T59" fmla="*/ 23 h 1362"/>
              <a:gd name="T60" fmla="*/ 75 w 598"/>
              <a:gd name="T61" fmla="*/ 23 h 1362"/>
              <a:gd name="T62" fmla="*/ 73 w 598"/>
              <a:gd name="T63" fmla="*/ 43 h 1362"/>
              <a:gd name="T64" fmla="*/ 83 w 598"/>
              <a:gd name="T65" fmla="*/ 54 h 1362"/>
              <a:gd name="T66" fmla="*/ 79 w 598"/>
              <a:gd name="T67" fmla="*/ 80 h 1362"/>
              <a:gd name="T68" fmla="*/ 88 w 598"/>
              <a:gd name="T69" fmla="*/ 100 h 1362"/>
              <a:gd name="T70" fmla="*/ 81 w 598"/>
              <a:gd name="T71" fmla="*/ 128 h 1362"/>
              <a:gd name="T72" fmla="*/ 83 w 598"/>
              <a:gd name="T73" fmla="*/ 134 h 1362"/>
              <a:gd name="T74" fmla="*/ 82 w 598"/>
              <a:gd name="T75" fmla="*/ 149 h 1362"/>
              <a:gd name="T76" fmla="*/ 100 w 598"/>
              <a:gd name="T77" fmla="*/ 167 h 1362"/>
              <a:gd name="T78" fmla="*/ 83 w 598"/>
              <a:gd name="T79" fmla="*/ 191 h 1362"/>
              <a:gd name="T80" fmla="*/ 74 w 598"/>
              <a:gd name="T81" fmla="*/ 204 h 1362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w 598"/>
              <a:gd name="T124" fmla="*/ 0 h 1362"/>
              <a:gd name="T125" fmla="*/ 598 w 598"/>
              <a:gd name="T126" fmla="*/ 1362 h 1362"/>
            </a:gdLst>
            <a:ahLst/>
            <a:cxnLst>
              <a:cxn ang="T82">
                <a:pos x="T0" y="T1"/>
              </a:cxn>
              <a:cxn ang="T83">
                <a:pos x="T2" y="T3"/>
              </a:cxn>
              <a:cxn ang="T84">
                <a:pos x="T4" y="T5"/>
              </a:cxn>
              <a:cxn ang="T85">
                <a:pos x="T6" y="T7"/>
              </a:cxn>
              <a:cxn ang="T86">
                <a:pos x="T8" y="T9"/>
              </a:cxn>
              <a:cxn ang="T87">
                <a:pos x="T10" y="T11"/>
              </a:cxn>
              <a:cxn ang="T88">
                <a:pos x="T12" y="T13"/>
              </a:cxn>
              <a:cxn ang="T89">
                <a:pos x="T14" y="T15"/>
              </a:cxn>
              <a:cxn ang="T90">
                <a:pos x="T16" y="T17"/>
              </a:cxn>
              <a:cxn ang="T91">
                <a:pos x="T18" y="T19"/>
              </a:cxn>
              <a:cxn ang="T92">
                <a:pos x="T20" y="T21"/>
              </a:cxn>
              <a:cxn ang="T93">
                <a:pos x="T22" y="T23"/>
              </a:cxn>
              <a:cxn ang="T94">
                <a:pos x="T24" y="T25"/>
              </a:cxn>
              <a:cxn ang="T95">
                <a:pos x="T26" y="T27"/>
              </a:cxn>
              <a:cxn ang="T96">
                <a:pos x="T28" y="T29"/>
              </a:cxn>
              <a:cxn ang="T97">
                <a:pos x="T30" y="T31"/>
              </a:cxn>
              <a:cxn ang="T98">
                <a:pos x="T32" y="T33"/>
              </a:cxn>
              <a:cxn ang="T99">
                <a:pos x="T34" y="T35"/>
              </a:cxn>
              <a:cxn ang="T100">
                <a:pos x="T36" y="T37"/>
              </a:cxn>
              <a:cxn ang="T101">
                <a:pos x="T38" y="T39"/>
              </a:cxn>
              <a:cxn ang="T102">
                <a:pos x="T40" y="T41"/>
              </a:cxn>
              <a:cxn ang="T103">
                <a:pos x="T42" y="T43"/>
              </a:cxn>
              <a:cxn ang="T104">
                <a:pos x="T44" y="T45"/>
              </a:cxn>
              <a:cxn ang="T105">
                <a:pos x="T46" y="T47"/>
              </a:cxn>
              <a:cxn ang="T106">
                <a:pos x="T48" y="T49"/>
              </a:cxn>
              <a:cxn ang="T107">
                <a:pos x="T50" y="T51"/>
              </a:cxn>
              <a:cxn ang="T108">
                <a:pos x="T52" y="T53"/>
              </a:cxn>
              <a:cxn ang="T109">
                <a:pos x="T54" y="T55"/>
              </a:cxn>
              <a:cxn ang="T110">
                <a:pos x="T56" y="T57"/>
              </a:cxn>
              <a:cxn ang="T111">
                <a:pos x="T58" y="T59"/>
              </a:cxn>
              <a:cxn ang="T112">
                <a:pos x="T60" y="T61"/>
              </a:cxn>
              <a:cxn ang="T113">
                <a:pos x="T62" y="T63"/>
              </a:cxn>
              <a:cxn ang="T114">
                <a:pos x="T64" y="T65"/>
              </a:cxn>
              <a:cxn ang="T115">
                <a:pos x="T66" y="T67"/>
              </a:cxn>
              <a:cxn ang="T116">
                <a:pos x="T68" y="T69"/>
              </a:cxn>
              <a:cxn ang="T117">
                <a:pos x="T70" y="T71"/>
              </a:cxn>
              <a:cxn ang="T118">
                <a:pos x="T72" y="T73"/>
              </a:cxn>
              <a:cxn ang="T119">
                <a:pos x="T74" y="T75"/>
              </a:cxn>
              <a:cxn ang="T120">
                <a:pos x="T76" y="T77"/>
              </a:cxn>
              <a:cxn ang="T121">
                <a:pos x="T78" y="T79"/>
              </a:cxn>
              <a:cxn ang="T122">
                <a:pos x="T80" y="T81"/>
              </a:cxn>
            </a:cxnLst>
            <a:rect l="T123" t="T124" r="T125" b="T126"/>
            <a:pathLst>
              <a:path w="598" h="1362">
                <a:moveTo>
                  <a:pt x="411" y="1275"/>
                </a:moveTo>
                <a:lnTo>
                  <a:pt x="388" y="1294"/>
                </a:lnTo>
                <a:lnTo>
                  <a:pt x="358" y="1279"/>
                </a:lnTo>
                <a:lnTo>
                  <a:pt x="343" y="1298"/>
                </a:lnTo>
                <a:lnTo>
                  <a:pt x="310" y="1306"/>
                </a:lnTo>
                <a:lnTo>
                  <a:pt x="299" y="1291"/>
                </a:lnTo>
                <a:lnTo>
                  <a:pt x="277" y="1309"/>
                </a:lnTo>
                <a:lnTo>
                  <a:pt x="247" y="1302"/>
                </a:lnTo>
                <a:lnTo>
                  <a:pt x="229" y="1332"/>
                </a:lnTo>
                <a:lnTo>
                  <a:pt x="210" y="1339"/>
                </a:lnTo>
                <a:lnTo>
                  <a:pt x="207" y="1321"/>
                </a:lnTo>
                <a:lnTo>
                  <a:pt x="162" y="1328"/>
                </a:lnTo>
                <a:lnTo>
                  <a:pt x="133" y="1362"/>
                </a:lnTo>
                <a:lnTo>
                  <a:pt x="118" y="1362"/>
                </a:lnTo>
                <a:lnTo>
                  <a:pt x="144" y="1324"/>
                </a:lnTo>
                <a:lnTo>
                  <a:pt x="122" y="1339"/>
                </a:lnTo>
                <a:lnTo>
                  <a:pt x="133" y="1313"/>
                </a:lnTo>
                <a:lnTo>
                  <a:pt x="126" y="1302"/>
                </a:lnTo>
                <a:lnTo>
                  <a:pt x="129" y="1279"/>
                </a:lnTo>
                <a:lnTo>
                  <a:pt x="107" y="1291"/>
                </a:lnTo>
                <a:lnTo>
                  <a:pt x="100" y="1268"/>
                </a:lnTo>
                <a:lnTo>
                  <a:pt x="55" y="1246"/>
                </a:lnTo>
                <a:lnTo>
                  <a:pt x="41" y="1186"/>
                </a:lnTo>
                <a:lnTo>
                  <a:pt x="55" y="1133"/>
                </a:lnTo>
                <a:lnTo>
                  <a:pt x="44" y="1043"/>
                </a:lnTo>
                <a:lnTo>
                  <a:pt x="33" y="1039"/>
                </a:lnTo>
                <a:lnTo>
                  <a:pt x="33" y="998"/>
                </a:lnTo>
                <a:lnTo>
                  <a:pt x="48" y="946"/>
                </a:lnTo>
                <a:lnTo>
                  <a:pt x="74" y="949"/>
                </a:lnTo>
                <a:lnTo>
                  <a:pt x="107" y="889"/>
                </a:lnTo>
                <a:lnTo>
                  <a:pt x="155" y="837"/>
                </a:lnTo>
                <a:lnTo>
                  <a:pt x="255" y="747"/>
                </a:lnTo>
                <a:lnTo>
                  <a:pt x="251" y="724"/>
                </a:lnTo>
                <a:lnTo>
                  <a:pt x="255" y="687"/>
                </a:lnTo>
                <a:lnTo>
                  <a:pt x="218" y="630"/>
                </a:lnTo>
                <a:lnTo>
                  <a:pt x="196" y="623"/>
                </a:lnTo>
                <a:lnTo>
                  <a:pt x="181" y="574"/>
                </a:lnTo>
                <a:lnTo>
                  <a:pt x="185" y="529"/>
                </a:lnTo>
                <a:lnTo>
                  <a:pt x="199" y="450"/>
                </a:lnTo>
                <a:lnTo>
                  <a:pt x="173" y="371"/>
                </a:lnTo>
                <a:lnTo>
                  <a:pt x="162" y="285"/>
                </a:lnTo>
                <a:lnTo>
                  <a:pt x="137" y="240"/>
                </a:lnTo>
                <a:lnTo>
                  <a:pt x="49" y="217"/>
                </a:lnTo>
                <a:lnTo>
                  <a:pt x="7" y="146"/>
                </a:lnTo>
                <a:lnTo>
                  <a:pt x="0" y="143"/>
                </a:lnTo>
                <a:lnTo>
                  <a:pt x="27" y="143"/>
                </a:lnTo>
                <a:lnTo>
                  <a:pt x="23" y="127"/>
                </a:lnTo>
                <a:lnTo>
                  <a:pt x="63" y="120"/>
                </a:lnTo>
                <a:lnTo>
                  <a:pt x="111" y="203"/>
                </a:lnTo>
                <a:lnTo>
                  <a:pt x="188" y="199"/>
                </a:lnTo>
                <a:lnTo>
                  <a:pt x="229" y="225"/>
                </a:lnTo>
                <a:lnTo>
                  <a:pt x="273" y="173"/>
                </a:lnTo>
                <a:lnTo>
                  <a:pt x="284" y="86"/>
                </a:lnTo>
                <a:lnTo>
                  <a:pt x="329" y="15"/>
                </a:lnTo>
                <a:lnTo>
                  <a:pt x="388" y="0"/>
                </a:lnTo>
                <a:lnTo>
                  <a:pt x="421" y="33"/>
                </a:lnTo>
                <a:lnTo>
                  <a:pt x="445" y="23"/>
                </a:lnTo>
                <a:lnTo>
                  <a:pt x="453" y="65"/>
                </a:lnTo>
                <a:lnTo>
                  <a:pt x="435" y="129"/>
                </a:lnTo>
                <a:lnTo>
                  <a:pt x="410" y="139"/>
                </a:lnTo>
                <a:lnTo>
                  <a:pt x="413" y="150"/>
                </a:lnTo>
                <a:lnTo>
                  <a:pt x="450" y="143"/>
                </a:lnTo>
                <a:lnTo>
                  <a:pt x="425" y="214"/>
                </a:lnTo>
                <a:lnTo>
                  <a:pt x="439" y="266"/>
                </a:lnTo>
                <a:lnTo>
                  <a:pt x="491" y="296"/>
                </a:lnTo>
                <a:lnTo>
                  <a:pt x="495" y="330"/>
                </a:lnTo>
                <a:lnTo>
                  <a:pt x="439" y="443"/>
                </a:lnTo>
                <a:lnTo>
                  <a:pt x="472" y="488"/>
                </a:lnTo>
                <a:lnTo>
                  <a:pt x="498" y="563"/>
                </a:lnTo>
                <a:lnTo>
                  <a:pt x="524" y="615"/>
                </a:lnTo>
                <a:lnTo>
                  <a:pt x="491" y="630"/>
                </a:lnTo>
                <a:lnTo>
                  <a:pt x="487" y="784"/>
                </a:lnTo>
                <a:lnTo>
                  <a:pt x="517" y="803"/>
                </a:lnTo>
                <a:lnTo>
                  <a:pt x="495" y="825"/>
                </a:lnTo>
                <a:lnTo>
                  <a:pt x="532" y="870"/>
                </a:lnTo>
                <a:lnTo>
                  <a:pt x="491" y="916"/>
                </a:lnTo>
                <a:lnTo>
                  <a:pt x="546" y="953"/>
                </a:lnTo>
                <a:lnTo>
                  <a:pt x="598" y="1024"/>
                </a:lnTo>
                <a:lnTo>
                  <a:pt x="587" y="1058"/>
                </a:lnTo>
                <a:lnTo>
                  <a:pt x="495" y="1171"/>
                </a:lnTo>
                <a:lnTo>
                  <a:pt x="483" y="1207"/>
                </a:lnTo>
                <a:lnTo>
                  <a:pt x="441" y="1249"/>
                </a:lnTo>
                <a:lnTo>
                  <a:pt x="406" y="1276"/>
                </a:lnTo>
              </a:path>
            </a:pathLst>
          </a:custGeom>
          <a:solidFill>
            <a:srgbClr val="ADC9EB"/>
          </a:solidFill>
          <a:ln w="3175">
            <a:solidFill>
              <a:srgbClr val="ADC9EB"/>
            </a:solidFill>
            <a:round/>
            <a:headEnd/>
            <a:tailEnd/>
          </a:ln>
        </xdr:spPr>
      </xdr:sp>
    </xdr:grpSp>
    <xdr:clientData/>
  </xdr:twoCellAnchor>
  <xdr:twoCellAnchor>
    <xdr:from>
      <xdr:col>5</xdr:col>
      <xdr:colOff>409575</xdr:colOff>
      <xdr:row>33</xdr:row>
      <xdr:rowOff>19050</xdr:rowOff>
    </xdr:from>
    <xdr:to>
      <xdr:col>6</xdr:col>
      <xdr:colOff>161925</xdr:colOff>
      <xdr:row>36</xdr:row>
      <xdr:rowOff>85725</xdr:rowOff>
    </xdr:to>
    <xdr:sp macro="" textlink="">
      <xdr:nvSpPr>
        <xdr:cNvPr id="25649" name="S_GRC"/>
        <xdr:cNvSpPr>
          <a:spLocks noChangeAspect="1"/>
        </xdr:cNvSpPr>
      </xdr:nvSpPr>
      <xdr:spPr bwMode="auto">
        <a:xfrm>
          <a:off x="3381375" y="5372100"/>
          <a:ext cx="466725" cy="552450"/>
        </a:xfrm>
        <a:custGeom>
          <a:avLst/>
          <a:gdLst>
            <a:gd name="T0" fmla="*/ 33224 w 295"/>
            <a:gd name="T1" fmla="*/ 225015 h 356"/>
            <a:gd name="T2" fmla="*/ 98091 w 295"/>
            <a:gd name="T3" fmla="*/ 97765 h 356"/>
            <a:gd name="T4" fmla="*/ 170869 w 295"/>
            <a:gd name="T5" fmla="*/ 48107 h 356"/>
            <a:gd name="T6" fmla="*/ 235736 w 295"/>
            <a:gd name="T7" fmla="*/ 29485 h 356"/>
            <a:gd name="T8" fmla="*/ 346484 w 295"/>
            <a:gd name="T9" fmla="*/ 0 h 356"/>
            <a:gd name="T10" fmla="*/ 466725 w 295"/>
            <a:gd name="T11" fmla="*/ 32588 h 356"/>
            <a:gd name="T12" fmla="*/ 400276 w 295"/>
            <a:gd name="T13" fmla="*/ 60521 h 356"/>
            <a:gd name="T14" fmla="*/ 284781 w 295"/>
            <a:gd name="T15" fmla="*/ 97765 h 356"/>
            <a:gd name="T16" fmla="*/ 291110 w 295"/>
            <a:gd name="T17" fmla="*/ 142768 h 356"/>
            <a:gd name="T18" fmla="*/ 264214 w 295"/>
            <a:gd name="T19" fmla="*/ 169149 h 356"/>
            <a:gd name="T20" fmla="*/ 202511 w 295"/>
            <a:gd name="T21" fmla="*/ 114835 h 356"/>
            <a:gd name="T22" fmla="*/ 253139 w 295"/>
            <a:gd name="T23" fmla="*/ 262259 h 356"/>
            <a:gd name="T24" fmla="*/ 208840 w 295"/>
            <a:gd name="T25" fmla="*/ 273121 h 356"/>
            <a:gd name="T26" fmla="*/ 230989 w 295"/>
            <a:gd name="T27" fmla="*/ 305710 h 356"/>
            <a:gd name="T28" fmla="*/ 302185 w 295"/>
            <a:gd name="T29" fmla="*/ 366231 h 356"/>
            <a:gd name="T30" fmla="*/ 302185 w 295"/>
            <a:gd name="T31" fmla="*/ 420545 h 356"/>
            <a:gd name="T32" fmla="*/ 264214 w 295"/>
            <a:gd name="T33" fmla="*/ 420545 h 356"/>
            <a:gd name="T34" fmla="*/ 246811 w 295"/>
            <a:gd name="T35" fmla="*/ 443822 h 356"/>
            <a:gd name="T36" fmla="*/ 219914 w 295"/>
            <a:gd name="T37" fmla="*/ 443822 h 356"/>
            <a:gd name="T38" fmla="*/ 253139 w 295"/>
            <a:gd name="T39" fmla="*/ 519862 h 356"/>
            <a:gd name="T40" fmla="*/ 219914 w 295"/>
            <a:gd name="T41" fmla="*/ 513654 h 356"/>
            <a:gd name="T42" fmla="*/ 191436 w 295"/>
            <a:gd name="T43" fmla="*/ 535380 h 356"/>
            <a:gd name="T44" fmla="*/ 153465 w 295"/>
            <a:gd name="T45" fmla="*/ 487273 h 356"/>
            <a:gd name="T46" fmla="*/ 115495 w 295"/>
            <a:gd name="T47" fmla="*/ 470203 h 356"/>
            <a:gd name="T48" fmla="*/ 82270 w 295"/>
            <a:gd name="T49" fmla="*/ 377094 h 356"/>
            <a:gd name="T50" fmla="*/ 153465 w 295"/>
            <a:gd name="T51" fmla="*/ 350713 h 356"/>
            <a:gd name="T52" fmla="*/ 246811 w 295"/>
            <a:gd name="T53" fmla="*/ 387956 h 356"/>
            <a:gd name="T54" fmla="*/ 230989 w 295"/>
            <a:gd name="T55" fmla="*/ 361575 h 356"/>
            <a:gd name="T56" fmla="*/ 104420 w 295"/>
            <a:gd name="T57" fmla="*/ 327435 h 356"/>
            <a:gd name="T58" fmla="*/ 55374 w 295"/>
            <a:gd name="T59" fmla="*/ 283984 h 356"/>
            <a:gd name="T60" fmla="*/ 60121 w 295"/>
            <a:gd name="T61" fmla="*/ 257603 h 356"/>
            <a:gd name="T62" fmla="*/ 0 w 295"/>
            <a:gd name="T63" fmla="*/ 229670 h 35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w 295"/>
            <a:gd name="T97" fmla="*/ 0 h 356"/>
            <a:gd name="T98" fmla="*/ 295 w 295"/>
            <a:gd name="T99" fmla="*/ 356 h 356"/>
          </a:gdLst>
          <a:ahLst/>
          <a:cxnLst>
            <a:cxn ang="T64">
              <a:pos x="T0" y="T1"/>
            </a:cxn>
            <a:cxn ang="T65">
              <a:pos x="T2" y="T3"/>
            </a:cxn>
            <a:cxn ang="T66">
              <a:pos x="T4" y="T5"/>
            </a:cxn>
            <a:cxn ang="T67">
              <a:pos x="T6" y="T7"/>
            </a:cxn>
            <a:cxn ang="T68">
              <a:pos x="T8" y="T9"/>
            </a:cxn>
            <a:cxn ang="T69">
              <a:pos x="T10" y="T11"/>
            </a:cxn>
            <a:cxn ang="T70">
              <a:pos x="T12" y="T13"/>
            </a:cxn>
            <a:cxn ang="T71">
              <a:pos x="T14" y="T15"/>
            </a:cxn>
            <a:cxn ang="T72">
              <a:pos x="T16" y="T17"/>
            </a:cxn>
            <a:cxn ang="T73">
              <a:pos x="T18" y="T19"/>
            </a:cxn>
            <a:cxn ang="T74">
              <a:pos x="T20" y="T21"/>
            </a:cxn>
            <a:cxn ang="T75">
              <a:pos x="T22" y="T23"/>
            </a:cxn>
            <a:cxn ang="T76">
              <a:pos x="T24" y="T25"/>
            </a:cxn>
            <a:cxn ang="T77">
              <a:pos x="T26" y="T27"/>
            </a:cxn>
            <a:cxn ang="T78">
              <a:pos x="T28" y="T29"/>
            </a:cxn>
            <a:cxn ang="T79">
              <a:pos x="T30" y="T31"/>
            </a:cxn>
            <a:cxn ang="T80">
              <a:pos x="T32" y="T33"/>
            </a:cxn>
            <a:cxn ang="T81">
              <a:pos x="T34" y="T35"/>
            </a:cxn>
            <a:cxn ang="T82">
              <a:pos x="T36" y="T37"/>
            </a:cxn>
            <a:cxn ang="T83">
              <a:pos x="T38" y="T39"/>
            </a:cxn>
            <a:cxn ang="T84">
              <a:pos x="T40" y="T41"/>
            </a:cxn>
            <a:cxn ang="T85">
              <a:pos x="T42" y="T43"/>
            </a:cxn>
            <a:cxn ang="T86">
              <a:pos x="T44" y="T45"/>
            </a:cxn>
            <a:cxn ang="T87">
              <a:pos x="T46" y="T47"/>
            </a:cxn>
            <a:cxn ang="T88">
              <a:pos x="T48" y="T49"/>
            </a:cxn>
            <a:cxn ang="T89">
              <a:pos x="T50" y="T51"/>
            </a:cxn>
            <a:cxn ang="T90">
              <a:pos x="T52" y="T53"/>
            </a:cxn>
            <a:cxn ang="T91">
              <a:pos x="T54" y="T55"/>
            </a:cxn>
            <a:cxn ang="T92">
              <a:pos x="T56" y="T57"/>
            </a:cxn>
            <a:cxn ang="T93">
              <a:pos x="T58" y="T59"/>
            </a:cxn>
            <a:cxn ang="T94">
              <a:pos x="T60" y="T61"/>
            </a:cxn>
            <a:cxn ang="T95">
              <a:pos x="T62" y="T63"/>
            </a:cxn>
          </a:cxnLst>
          <a:rect l="T96" t="T97" r="T98" b="T99"/>
          <a:pathLst>
            <a:path w="295" h="356">
              <a:moveTo>
                <a:pt x="0" y="148"/>
              </a:moveTo>
              <a:lnTo>
                <a:pt x="21" y="145"/>
              </a:lnTo>
              <a:lnTo>
                <a:pt x="24" y="116"/>
              </a:lnTo>
              <a:lnTo>
                <a:pt x="62" y="63"/>
              </a:lnTo>
              <a:lnTo>
                <a:pt x="87" y="53"/>
              </a:lnTo>
              <a:lnTo>
                <a:pt x="108" y="31"/>
              </a:lnTo>
              <a:lnTo>
                <a:pt x="128" y="31"/>
              </a:lnTo>
              <a:lnTo>
                <a:pt x="149" y="19"/>
              </a:lnTo>
              <a:lnTo>
                <a:pt x="198" y="18"/>
              </a:lnTo>
              <a:lnTo>
                <a:pt x="219" y="0"/>
              </a:lnTo>
              <a:lnTo>
                <a:pt x="257" y="28"/>
              </a:lnTo>
              <a:lnTo>
                <a:pt x="295" y="21"/>
              </a:lnTo>
              <a:lnTo>
                <a:pt x="295" y="42"/>
              </a:lnTo>
              <a:lnTo>
                <a:pt x="253" y="39"/>
              </a:lnTo>
              <a:lnTo>
                <a:pt x="212" y="42"/>
              </a:lnTo>
              <a:lnTo>
                <a:pt x="180" y="63"/>
              </a:lnTo>
              <a:lnTo>
                <a:pt x="212" y="95"/>
              </a:lnTo>
              <a:lnTo>
                <a:pt x="184" y="92"/>
              </a:lnTo>
              <a:lnTo>
                <a:pt x="191" y="109"/>
              </a:lnTo>
              <a:lnTo>
                <a:pt x="167" y="109"/>
              </a:lnTo>
              <a:lnTo>
                <a:pt x="139" y="95"/>
              </a:lnTo>
              <a:lnTo>
                <a:pt x="128" y="74"/>
              </a:lnTo>
              <a:lnTo>
                <a:pt x="125" y="102"/>
              </a:lnTo>
              <a:lnTo>
                <a:pt x="160" y="169"/>
              </a:lnTo>
              <a:lnTo>
                <a:pt x="139" y="155"/>
              </a:lnTo>
              <a:lnTo>
                <a:pt x="132" y="176"/>
              </a:lnTo>
              <a:lnTo>
                <a:pt x="118" y="187"/>
              </a:lnTo>
              <a:lnTo>
                <a:pt x="146" y="197"/>
              </a:lnTo>
              <a:lnTo>
                <a:pt x="167" y="211"/>
              </a:lnTo>
              <a:lnTo>
                <a:pt x="191" y="236"/>
              </a:lnTo>
              <a:lnTo>
                <a:pt x="208" y="264"/>
              </a:lnTo>
              <a:lnTo>
                <a:pt x="191" y="271"/>
              </a:lnTo>
              <a:lnTo>
                <a:pt x="177" y="254"/>
              </a:lnTo>
              <a:lnTo>
                <a:pt x="167" y="271"/>
              </a:lnTo>
              <a:lnTo>
                <a:pt x="170" y="286"/>
              </a:lnTo>
              <a:lnTo>
                <a:pt x="156" y="286"/>
              </a:lnTo>
              <a:lnTo>
                <a:pt x="149" y="282"/>
              </a:lnTo>
              <a:lnTo>
                <a:pt x="139" y="286"/>
              </a:lnTo>
              <a:lnTo>
                <a:pt x="156" y="317"/>
              </a:lnTo>
              <a:lnTo>
                <a:pt x="160" y="335"/>
              </a:lnTo>
              <a:lnTo>
                <a:pt x="146" y="356"/>
              </a:lnTo>
              <a:lnTo>
                <a:pt x="139" y="331"/>
              </a:lnTo>
              <a:lnTo>
                <a:pt x="125" y="317"/>
              </a:lnTo>
              <a:lnTo>
                <a:pt x="121" y="345"/>
              </a:lnTo>
              <a:lnTo>
                <a:pt x="111" y="345"/>
              </a:lnTo>
              <a:lnTo>
                <a:pt x="97" y="314"/>
              </a:lnTo>
              <a:lnTo>
                <a:pt x="83" y="331"/>
              </a:lnTo>
              <a:lnTo>
                <a:pt x="73" y="303"/>
              </a:lnTo>
              <a:lnTo>
                <a:pt x="73" y="271"/>
              </a:lnTo>
              <a:lnTo>
                <a:pt x="52" y="243"/>
              </a:lnTo>
              <a:lnTo>
                <a:pt x="76" y="229"/>
              </a:lnTo>
              <a:lnTo>
                <a:pt x="97" y="226"/>
              </a:lnTo>
              <a:lnTo>
                <a:pt x="142" y="261"/>
              </a:lnTo>
              <a:lnTo>
                <a:pt x="156" y="250"/>
              </a:lnTo>
              <a:lnTo>
                <a:pt x="135" y="240"/>
              </a:lnTo>
              <a:lnTo>
                <a:pt x="146" y="233"/>
              </a:lnTo>
              <a:lnTo>
                <a:pt x="125" y="219"/>
              </a:lnTo>
              <a:lnTo>
                <a:pt x="66" y="211"/>
              </a:lnTo>
              <a:lnTo>
                <a:pt x="52" y="226"/>
              </a:lnTo>
              <a:lnTo>
                <a:pt x="35" y="183"/>
              </a:lnTo>
              <a:lnTo>
                <a:pt x="49" y="180"/>
              </a:lnTo>
              <a:lnTo>
                <a:pt x="38" y="166"/>
              </a:lnTo>
              <a:lnTo>
                <a:pt x="21" y="169"/>
              </a:lnTo>
              <a:lnTo>
                <a:pt x="0" y="148"/>
              </a:lnTo>
            </a:path>
          </a:pathLst>
        </a:custGeom>
        <a:solidFill>
          <a:srgbClr val="597DA8"/>
        </a:solidFill>
        <a:ln w="3175">
          <a:solidFill>
            <a:srgbClr val="597DA8"/>
          </a:solidFill>
          <a:round/>
          <a:headEnd/>
          <a:tailEnd/>
        </a:ln>
      </xdr:spPr>
    </xdr:sp>
    <xdr:clientData/>
  </xdr:twoCellAnchor>
  <xdr:twoCellAnchor>
    <xdr:from>
      <xdr:col>5</xdr:col>
      <xdr:colOff>285750</xdr:colOff>
      <xdr:row>30</xdr:row>
      <xdr:rowOff>19050</xdr:rowOff>
    </xdr:from>
    <xdr:to>
      <xdr:col>5</xdr:col>
      <xdr:colOff>657225</xdr:colOff>
      <xdr:row>33</xdr:row>
      <xdr:rowOff>0</xdr:rowOff>
    </xdr:to>
    <xdr:sp macro="" textlink="">
      <xdr:nvSpPr>
        <xdr:cNvPr id="25650" name="S_SR"/>
        <xdr:cNvSpPr>
          <a:spLocks noChangeAspect="1"/>
        </xdr:cNvSpPr>
      </xdr:nvSpPr>
      <xdr:spPr bwMode="auto">
        <a:xfrm>
          <a:off x="3257550" y="4886325"/>
          <a:ext cx="371475" cy="466725"/>
        </a:xfrm>
        <a:custGeom>
          <a:avLst/>
          <a:gdLst>
            <a:gd name="T0" fmla="*/ 195182 w 236"/>
            <a:gd name="T1" fmla="*/ 466725 h 301"/>
            <a:gd name="T2" fmla="*/ 165275 w 236"/>
            <a:gd name="T3" fmla="*/ 443466 h 301"/>
            <a:gd name="T4" fmla="*/ 143238 w 236"/>
            <a:gd name="T5" fmla="*/ 410904 h 301"/>
            <a:gd name="T6" fmla="*/ 89721 w 236"/>
            <a:gd name="T7" fmla="*/ 389196 h 301"/>
            <a:gd name="T8" fmla="*/ 80276 w 236"/>
            <a:gd name="T9" fmla="*/ 443466 h 301"/>
            <a:gd name="T10" fmla="*/ 58240 w 236"/>
            <a:gd name="T11" fmla="*/ 443466 h 301"/>
            <a:gd name="T12" fmla="*/ 11018 w 236"/>
            <a:gd name="T13" fmla="*/ 393848 h 301"/>
            <a:gd name="T14" fmla="*/ 4722 w 236"/>
            <a:gd name="T15" fmla="*/ 372139 h 301"/>
            <a:gd name="T16" fmla="*/ 0 w 236"/>
            <a:gd name="T17" fmla="*/ 367488 h 301"/>
            <a:gd name="T18" fmla="*/ 11018 w 236"/>
            <a:gd name="T19" fmla="*/ 356634 h 301"/>
            <a:gd name="T20" fmla="*/ 0 w 236"/>
            <a:gd name="T21" fmla="*/ 345780 h 301"/>
            <a:gd name="T22" fmla="*/ 11018 w 236"/>
            <a:gd name="T23" fmla="*/ 324071 h 301"/>
            <a:gd name="T24" fmla="*/ 15740 w 236"/>
            <a:gd name="T25" fmla="*/ 324071 h 301"/>
            <a:gd name="T26" fmla="*/ 15740 w 236"/>
            <a:gd name="T27" fmla="*/ 297712 h 301"/>
            <a:gd name="T28" fmla="*/ 26759 w 236"/>
            <a:gd name="T29" fmla="*/ 280655 h 301"/>
            <a:gd name="T30" fmla="*/ 37777 w 236"/>
            <a:gd name="T31" fmla="*/ 286858 h 301"/>
            <a:gd name="T32" fmla="*/ 42499 w 236"/>
            <a:gd name="T33" fmla="*/ 276003 h 301"/>
            <a:gd name="T34" fmla="*/ 26759 w 236"/>
            <a:gd name="T35" fmla="*/ 248093 h 301"/>
            <a:gd name="T36" fmla="*/ 64536 w 236"/>
            <a:gd name="T37" fmla="*/ 249644 h 301"/>
            <a:gd name="T38" fmla="*/ 67684 w 236"/>
            <a:gd name="T39" fmla="*/ 238790 h 301"/>
            <a:gd name="T40" fmla="*/ 45647 w 236"/>
            <a:gd name="T41" fmla="*/ 198474 h 301"/>
            <a:gd name="T42" fmla="*/ 73980 w 236"/>
            <a:gd name="T43" fmla="*/ 210879 h 301"/>
            <a:gd name="T44" fmla="*/ 80276 w 236"/>
            <a:gd name="T45" fmla="*/ 200025 h 301"/>
            <a:gd name="T46" fmla="*/ 42499 w 236"/>
            <a:gd name="T47" fmla="*/ 178317 h 301"/>
            <a:gd name="T48" fmla="*/ 37777 w 236"/>
            <a:gd name="T49" fmla="*/ 161260 h 301"/>
            <a:gd name="T50" fmla="*/ 58240 w 236"/>
            <a:gd name="T51" fmla="*/ 134901 h 301"/>
            <a:gd name="T52" fmla="*/ 53518 w 236"/>
            <a:gd name="T53" fmla="*/ 113192 h 301"/>
            <a:gd name="T54" fmla="*/ 31481 w 236"/>
            <a:gd name="T55" fmla="*/ 119395 h 301"/>
            <a:gd name="T56" fmla="*/ 31481 w 236"/>
            <a:gd name="T57" fmla="*/ 91484 h 301"/>
            <a:gd name="T58" fmla="*/ 37777 w 236"/>
            <a:gd name="T59" fmla="*/ 75978 h 301"/>
            <a:gd name="T60" fmla="*/ 26759 w 236"/>
            <a:gd name="T61" fmla="*/ 65124 h 301"/>
            <a:gd name="T62" fmla="*/ 31481 w 236"/>
            <a:gd name="T63" fmla="*/ 48068 h 301"/>
            <a:gd name="T64" fmla="*/ 20463 w 236"/>
            <a:gd name="T65" fmla="*/ 43416 h 301"/>
            <a:gd name="T66" fmla="*/ 20463 w 236"/>
            <a:gd name="T67" fmla="*/ 26360 h 301"/>
            <a:gd name="T68" fmla="*/ 11018 w 236"/>
            <a:gd name="T69" fmla="*/ 10854 h 301"/>
            <a:gd name="T70" fmla="*/ 89721 w 236"/>
            <a:gd name="T71" fmla="*/ 0 h 301"/>
            <a:gd name="T72" fmla="*/ 154257 w 236"/>
            <a:gd name="T73" fmla="*/ 0 h 301"/>
            <a:gd name="T74" fmla="*/ 185738 w 236"/>
            <a:gd name="T75" fmla="*/ 43416 h 301"/>
            <a:gd name="T76" fmla="*/ 185738 w 236"/>
            <a:gd name="T77" fmla="*/ 80630 h 301"/>
            <a:gd name="T78" fmla="*/ 232959 w 236"/>
            <a:gd name="T79" fmla="*/ 141103 h 301"/>
            <a:gd name="T80" fmla="*/ 275458 w 236"/>
            <a:gd name="T81" fmla="*/ 167463 h 301"/>
            <a:gd name="T82" fmla="*/ 302217 w 236"/>
            <a:gd name="T83" fmla="*/ 156609 h 301"/>
            <a:gd name="T84" fmla="*/ 286477 w 236"/>
            <a:gd name="T85" fmla="*/ 189171 h 301"/>
            <a:gd name="T86" fmla="*/ 313235 w 236"/>
            <a:gd name="T87" fmla="*/ 200025 h 301"/>
            <a:gd name="T88" fmla="*/ 302217 w 236"/>
            <a:gd name="T89" fmla="*/ 291509 h 301"/>
            <a:gd name="T90" fmla="*/ 371475 w 236"/>
            <a:gd name="T91" fmla="*/ 334926 h 301"/>
            <a:gd name="T92" fmla="*/ 360457 w 236"/>
            <a:gd name="T93" fmla="*/ 356634 h 301"/>
            <a:gd name="T94" fmla="*/ 308513 w 236"/>
            <a:gd name="T95" fmla="*/ 367488 h 301"/>
            <a:gd name="T96" fmla="*/ 332124 w 236"/>
            <a:gd name="T97" fmla="*/ 435713 h 301"/>
            <a:gd name="T98" fmla="*/ 289625 w 236"/>
            <a:gd name="T99" fmla="*/ 420208 h 301"/>
            <a:gd name="T100" fmla="*/ 225089 w 236"/>
            <a:gd name="T101" fmla="*/ 440365 h 301"/>
            <a:gd name="T102" fmla="*/ 220367 w 236"/>
            <a:gd name="T103" fmla="*/ 434163 h 301"/>
            <a:gd name="T104" fmla="*/ 174719 w 236"/>
            <a:gd name="T105" fmla="*/ 458972 h 301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w 236"/>
            <a:gd name="T160" fmla="*/ 0 h 301"/>
            <a:gd name="T161" fmla="*/ 236 w 236"/>
            <a:gd name="T162" fmla="*/ 301 h 301"/>
          </a:gdLst>
          <a:ahLst/>
          <a:cxnLst>
            <a:cxn ang="T106">
              <a:pos x="T0" y="T1"/>
            </a:cxn>
            <a:cxn ang="T107">
              <a:pos x="T2" y="T3"/>
            </a:cxn>
            <a:cxn ang="T108">
              <a:pos x="T4" y="T5"/>
            </a:cxn>
            <a:cxn ang="T109">
              <a:pos x="T6" y="T7"/>
            </a:cxn>
            <a:cxn ang="T110">
              <a:pos x="T8" y="T9"/>
            </a:cxn>
            <a:cxn ang="T111">
              <a:pos x="T10" y="T11"/>
            </a:cxn>
            <a:cxn ang="T112">
              <a:pos x="T12" y="T13"/>
            </a:cxn>
            <a:cxn ang="T113">
              <a:pos x="T14" y="T15"/>
            </a:cxn>
            <a:cxn ang="T114">
              <a:pos x="T16" y="T17"/>
            </a:cxn>
            <a:cxn ang="T115">
              <a:pos x="T18" y="T19"/>
            </a:cxn>
            <a:cxn ang="T116">
              <a:pos x="T20" y="T21"/>
            </a:cxn>
            <a:cxn ang="T117">
              <a:pos x="T22" y="T23"/>
            </a:cxn>
            <a:cxn ang="T118">
              <a:pos x="T24" y="T25"/>
            </a:cxn>
            <a:cxn ang="T119">
              <a:pos x="T26" y="T27"/>
            </a:cxn>
            <a:cxn ang="T120">
              <a:pos x="T28" y="T29"/>
            </a:cxn>
            <a:cxn ang="T121">
              <a:pos x="T30" y="T31"/>
            </a:cxn>
            <a:cxn ang="T122">
              <a:pos x="T32" y="T33"/>
            </a:cxn>
            <a:cxn ang="T123">
              <a:pos x="T34" y="T35"/>
            </a:cxn>
            <a:cxn ang="T124">
              <a:pos x="T36" y="T37"/>
            </a:cxn>
            <a:cxn ang="T125">
              <a:pos x="T38" y="T39"/>
            </a:cxn>
            <a:cxn ang="T126">
              <a:pos x="T40" y="T41"/>
            </a:cxn>
            <a:cxn ang="T127">
              <a:pos x="T42" y="T43"/>
            </a:cxn>
            <a:cxn ang="T128">
              <a:pos x="T44" y="T45"/>
            </a:cxn>
            <a:cxn ang="T129">
              <a:pos x="T46" y="T47"/>
            </a:cxn>
            <a:cxn ang="T130">
              <a:pos x="T48" y="T49"/>
            </a:cxn>
            <a:cxn ang="T131">
              <a:pos x="T50" y="T51"/>
            </a:cxn>
            <a:cxn ang="T132">
              <a:pos x="T52" y="T53"/>
            </a:cxn>
            <a:cxn ang="T133">
              <a:pos x="T54" y="T55"/>
            </a:cxn>
            <a:cxn ang="T134">
              <a:pos x="T56" y="T57"/>
            </a:cxn>
            <a:cxn ang="T135">
              <a:pos x="T58" y="T59"/>
            </a:cxn>
            <a:cxn ang="T136">
              <a:pos x="T60" y="T61"/>
            </a:cxn>
            <a:cxn ang="T137">
              <a:pos x="T62" y="T63"/>
            </a:cxn>
            <a:cxn ang="T138">
              <a:pos x="T64" y="T65"/>
            </a:cxn>
            <a:cxn ang="T139">
              <a:pos x="T66" y="T67"/>
            </a:cxn>
            <a:cxn ang="T140">
              <a:pos x="T68" y="T69"/>
            </a:cxn>
            <a:cxn ang="T141">
              <a:pos x="T70" y="T71"/>
            </a:cxn>
            <a:cxn ang="T142">
              <a:pos x="T72" y="T73"/>
            </a:cxn>
            <a:cxn ang="T143">
              <a:pos x="T74" y="T75"/>
            </a:cxn>
            <a:cxn ang="T144">
              <a:pos x="T76" y="T77"/>
            </a:cxn>
            <a:cxn ang="T145">
              <a:pos x="T78" y="T79"/>
            </a:cxn>
            <a:cxn ang="T146">
              <a:pos x="T80" y="T81"/>
            </a:cxn>
            <a:cxn ang="T147">
              <a:pos x="T82" y="T83"/>
            </a:cxn>
            <a:cxn ang="T148">
              <a:pos x="T84" y="T85"/>
            </a:cxn>
            <a:cxn ang="T149">
              <a:pos x="T86" y="T87"/>
            </a:cxn>
            <a:cxn ang="T150">
              <a:pos x="T88" y="T89"/>
            </a:cxn>
            <a:cxn ang="T151">
              <a:pos x="T90" y="T91"/>
            </a:cxn>
            <a:cxn ang="T152">
              <a:pos x="T92" y="T93"/>
            </a:cxn>
            <a:cxn ang="T153">
              <a:pos x="T94" y="T95"/>
            </a:cxn>
            <a:cxn ang="T154">
              <a:pos x="T96" y="T97"/>
            </a:cxn>
            <a:cxn ang="T155">
              <a:pos x="T98" y="T99"/>
            </a:cxn>
            <a:cxn ang="T156">
              <a:pos x="T100" y="T101"/>
            </a:cxn>
            <a:cxn ang="T157">
              <a:pos x="T102" y="T103"/>
            </a:cxn>
            <a:cxn ang="T158">
              <a:pos x="T104" y="T105"/>
            </a:cxn>
          </a:cxnLst>
          <a:rect l="T159" t="T160" r="T161" b="T162"/>
          <a:pathLst>
            <a:path w="236" h="301">
              <a:moveTo>
                <a:pt x="124" y="301"/>
              </a:moveTo>
              <a:lnTo>
                <a:pt x="105" y="286"/>
              </a:lnTo>
              <a:lnTo>
                <a:pt x="91" y="265"/>
              </a:lnTo>
              <a:lnTo>
                <a:pt x="57" y="251"/>
              </a:lnTo>
              <a:lnTo>
                <a:pt x="51" y="286"/>
              </a:lnTo>
              <a:lnTo>
                <a:pt x="37" y="286"/>
              </a:lnTo>
              <a:lnTo>
                <a:pt x="7" y="254"/>
              </a:lnTo>
              <a:lnTo>
                <a:pt x="3" y="240"/>
              </a:lnTo>
              <a:lnTo>
                <a:pt x="0" y="237"/>
              </a:lnTo>
              <a:lnTo>
                <a:pt x="7" y="230"/>
              </a:lnTo>
              <a:lnTo>
                <a:pt x="0" y="223"/>
              </a:lnTo>
              <a:lnTo>
                <a:pt x="7" y="209"/>
              </a:lnTo>
              <a:lnTo>
                <a:pt x="10" y="209"/>
              </a:lnTo>
              <a:lnTo>
                <a:pt x="10" y="192"/>
              </a:lnTo>
              <a:lnTo>
                <a:pt x="17" y="181"/>
              </a:lnTo>
              <a:lnTo>
                <a:pt x="24" y="185"/>
              </a:lnTo>
              <a:lnTo>
                <a:pt x="27" y="178"/>
              </a:lnTo>
              <a:lnTo>
                <a:pt x="17" y="160"/>
              </a:lnTo>
              <a:lnTo>
                <a:pt x="41" y="161"/>
              </a:lnTo>
              <a:lnTo>
                <a:pt x="43" y="154"/>
              </a:lnTo>
              <a:lnTo>
                <a:pt x="29" y="128"/>
              </a:lnTo>
              <a:lnTo>
                <a:pt x="47" y="136"/>
              </a:lnTo>
              <a:lnTo>
                <a:pt x="51" y="129"/>
              </a:lnTo>
              <a:lnTo>
                <a:pt x="27" y="115"/>
              </a:lnTo>
              <a:lnTo>
                <a:pt x="24" y="104"/>
              </a:lnTo>
              <a:lnTo>
                <a:pt x="37" y="87"/>
              </a:lnTo>
              <a:lnTo>
                <a:pt x="34" y="73"/>
              </a:lnTo>
              <a:lnTo>
                <a:pt x="20" y="77"/>
              </a:lnTo>
              <a:lnTo>
                <a:pt x="20" y="59"/>
              </a:lnTo>
              <a:lnTo>
                <a:pt x="24" y="49"/>
              </a:lnTo>
              <a:lnTo>
                <a:pt x="17" y="42"/>
              </a:lnTo>
              <a:lnTo>
                <a:pt x="20" y="31"/>
              </a:lnTo>
              <a:lnTo>
                <a:pt x="13" y="28"/>
              </a:lnTo>
              <a:lnTo>
                <a:pt x="13" y="17"/>
              </a:lnTo>
              <a:lnTo>
                <a:pt x="7" y="7"/>
              </a:lnTo>
              <a:lnTo>
                <a:pt x="57" y="0"/>
              </a:lnTo>
              <a:lnTo>
                <a:pt x="98" y="0"/>
              </a:lnTo>
              <a:lnTo>
                <a:pt x="118" y="28"/>
              </a:lnTo>
              <a:lnTo>
                <a:pt x="118" y="52"/>
              </a:lnTo>
              <a:lnTo>
                <a:pt x="148" y="91"/>
              </a:lnTo>
              <a:lnTo>
                <a:pt x="175" y="108"/>
              </a:lnTo>
              <a:lnTo>
                <a:pt x="192" y="101"/>
              </a:lnTo>
              <a:lnTo>
                <a:pt x="182" y="122"/>
              </a:lnTo>
              <a:lnTo>
                <a:pt x="199" y="129"/>
              </a:lnTo>
              <a:lnTo>
                <a:pt x="192" y="188"/>
              </a:lnTo>
              <a:lnTo>
                <a:pt x="236" y="216"/>
              </a:lnTo>
              <a:lnTo>
                <a:pt x="229" y="230"/>
              </a:lnTo>
              <a:lnTo>
                <a:pt x="196" y="237"/>
              </a:lnTo>
              <a:lnTo>
                <a:pt x="211" y="281"/>
              </a:lnTo>
              <a:lnTo>
                <a:pt x="184" y="271"/>
              </a:lnTo>
              <a:lnTo>
                <a:pt x="143" y="284"/>
              </a:lnTo>
              <a:lnTo>
                <a:pt x="140" y="280"/>
              </a:lnTo>
              <a:lnTo>
                <a:pt x="111" y="296"/>
              </a:lnTo>
            </a:path>
          </a:pathLst>
        </a:custGeom>
        <a:solidFill>
          <a:srgbClr val="94B9E5"/>
        </a:solidFill>
        <a:ln w="3175">
          <a:solidFill>
            <a:srgbClr val="94B9E5"/>
          </a:solidFill>
          <a:round/>
          <a:headEnd/>
          <a:tailEnd/>
        </a:ln>
      </xdr:spPr>
    </xdr:sp>
    <xdr:clientData/>
  </xdr:twoCellAnchor>
  <xdr:twoCellAnchor>
    <xdr:from>
      <xdr:col>5</xdr:col>
      <xdr:colOff>409575</xdr:colOff>
      <xdr:row>20</xdr:row>
      <xdr:rowOff>47625</xdr:rowOff>
    </xdr:from>
    <xdr:to>
      <xdr:col>6</xdr:col>
      <xdr:colOff>295275</xdr:colOff>
      <xdr:row>22</xdr:row>
      <xdr:rowOff>114300</xdr:rowOff>
    </xdr:to>
    <xdr:sp macro="" textlink="">
      <xdr:nvSpPr>
        <xdr:cNvPr id="25651" name="S_LVA"/>
        <xdr:cNvSpPr>
          <a:spLocks noChangeAspect="1"/>
        </xdr:cNvSpPr>
      </xdr:nvSpPr>
      <xdr:spPr bwMode="auto">
        <a:xfrm>
          <a:off x="3381375" y="3295650"/>
          <a:ext cx="600075" cy="390525"/>
        </a:xfrm>
        <a:custGeom>
          <a:avLst/>
          <a:gdLst>
            <a:gd name="T0" fmla="*/ 296863 w 378"/>
            <a:gd name="T1" fmla="*/ 33959 h 253"/>
            <a:gd name="T2" fmla="*/ 369887 w 378"/>
            <a:gd name="T3" fmla="*/ 0 h 253"/>
            <a:gd name="T4" fmla="*/ 433388 w 378"/>
            <a:gd name="T5" fmla="*/ 27784 h 253"/>
            <a:gd name="T6" fmla="*/ 484188 w 378"/>
            <a:gd name="T7" fmla="*/ 77179 h 253"/>
            <a:gd name="T8" fmla="*/ 501650 w 378"/>
            <a:gd name="T9" fmla="*/ 49394 h 253"/>
            <a:gd name="T10" fmla="*/ 569913 w 378"/>
            <a:gd name="T11" fmla="*/ 77179 h 253"/>
            <a:gd name="T12" fmla="*/ 592138 w 378"/>
            <a:gd name="T13" fmla="*/ 94158 h 253"/>
            <a:gd name="T14" fmla="*/ 598488 w 378"/>
            <a:gd name="T15" fmla="*/ 115768 h 253"/>
            <a:gd name="T16" fmla="*/ 587375 w 378"/>
            <a:gd name="T17" fmla="*/ 132748 h 253"/>
            <a:gd name="T18" fmla="*/ 569913 w 378"/>
            <a:gd name="T19" fmla="*/ 226906 h 253"/>
            <a:gd name="T20" fmla="*/ 600075 w 378"/>
            <a:gd name="T21" fmla="*/ 262408 h 253"/>
            <a:gd name="T22" fmla="*/ 576263 w 378"/>
            <a:gd name="T23" fmla="*/ 282475 h 253"/>
            <a:gd name="T24" fmla="*/ 552450 w 378"/>
            <a:gd name="T25" fmla="*/ 331869 h 253"/>
            <a:gd name="T26" fmla="*/ 523875 w 378"/>
            <a:gd name="T27" fmla="*/ 353479 h 253"/>
            <a:gd name="T28" fmla="*/ 433388 w 378"/>
            <a:gd name="T29" fmla="*/ 390525 h 253"/>
            <a:gd name="T30" fmla="*/ 379412 w 378"/>
            <a:gd name="T31" fmla="*/ 307172 h 253"/>
            <a:gd name="T32" fmla="*/ 338137 w 378"/>
            <a:gd name="T33" fmla="*/ 297910 h 253"/>
            <a:gd name="T34" fmla="*/ 325437 w 378"/>
            <a:gd name="T35" fmla="*/ 260865 h 253"/>
            <a:gd name="T36" fmla="*/ 279400 w 378"/>
            <a:gd name="T37" fmla="*/ 276300 h 253"/>
            <a:gd name="T38" fmla="*/ 176212 w 378"/>
            <a:gd name="T39" fmla="*/ 265495 h 253"/>
            <a:gd name="T40" fmla="*/ 125413 w 378"/>
            <a:gd name="T41" fmla="*/ 276300 h 253"/>
            <a:gd name="T42" fmla="*/ 90487 w 378"/>
            <a:gd name="T43" fmla="*/ 253147 h 253"/>
            <a:gd name="T44" fmla="*/ 28575 w 378"/>
            <a:gd name="T45" fmla="*/ 287105 h 253"/>
            <a:gd name="T46" fmla="*/ 11112 w 378"/>
            <a:gd name="T47" fmla="*/ 276300 h 253"/>
            <a:gd name="T48" fmla="*/ 0 w 378"/>
            <a:gd name="T49" fmla="*/ 182142 h 253"/>
            <a:gd name="T50" fmla="*/ 39687 w 378"/>
            <a:gd name="T51" fmla="*/ 138922 h 253"/>
            <a:gd name="T52" fmla="*/ 28575 w 378"/>
            <a:gd name="T53" fmla="*/ 100333 h 253"/>
            <a:gd name="T54" fmla="*/ 61913 w 378"/>
            <a:gd name="T55" fmla="*/ 55569 h 253"/>
            <a:gd name="T56" fmla="*/ 131763 w 378"/>
            <a:gd name="T57" fmla="*/ 27784 h 253"/>
            <a:gd name="T58" fmla="*/ 142875 w 378"/>
            <a:gd name="T59" fmla="*/ 66374 h 253"/>
            <a:gd name="T60" fmla="*/ 176212 w 378"/>
            <a:gd name="T61" fmla="*/ 100333 h 253"/>
            <a:gd name="T62" fmla="*/ 182562 w 378"/>
            <a:gd name="T63" fmla="*/ 132748 h 253"/>
            <a:gd name="T64" fmla="*/ 228600 w 378"/>
            <a:gd name="T65" fmla="*/ 154358 h 253"/>
            <a:gd name="T66" fmla="*/ 268288 w 378"/>
            <a:gd name="T67" fmla="*/ 143553 h 253"/>
            <a:gd name="T68" fmla="*/ 285750 w 378"/>
            <a:gd name="T69" fmla="*/ 115768 h 253"/>
            <a:gd name="T70" fmla="*/ 296863 w 378"/>
            <a:gd name="T71" fmla="*/ 33959 h 253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w 378"/>
            <a:gd name="T109" fmla="*/ 0 h 253"/>
            <a:gd name="T110" fmla="*/ 378 w 378"/>
            <a:gd name="T111" fmla="*/ 253 h 253"/>
          </a:gdLst>
          <a:ahLst/>
          <a:cxnLst>
            <a:cxn ang="T72">
              <a:pos x="T0" y="T1"/>
            </a:cxn>
            <a:cxn ang="T73">
              <a:pos x="T2" y="T3"/>
            </a:cxn>
            <a:cxn ang="T74">
              <a:pos x="T4" y="T5"/>
            </a:cxn>
            <a:cxn ang="T75">
              <a:pos x="T6" y="T7"/>
            </a:cxn>
            <a:cxn ang="T76">
              <a:pos x="T8" y="T9"/>
            </a:cxn>
            <a:cxn ang="T77">
              <a:pos x="T10" y="T11"/>
            </a:cxn>
            <a:cxn ang="T78">
              <a:pos x="T12" y="T13"/>
            </a:cxn>
            <a:cxn ang="T79">
              <a:pos x="T14" y="T15"/>
            </a:cxn>
            <a:cxn ang="T80">
              <a:pos x="T16" y="T17"/>
            </a:cxn>
            <a:cxn ang="T81">
              <a:pos x="T18" y="T19"/>
            </a:cxn>
            <a:cxn ang="T82">
              <a:pos x="T20" y="T21"/>
            </a:cxn>
            <a:cxn ang="T83">
              <a:pos x="T22" y="T23"/>
            </a:cxn>
            <a:cxn ang="T84">
              <a:pos x="T24" y="T25"/>
            </a:cxn>
            <a:cxn ang="T85">
              <a:pos x="T26" y="T27"/>
            </a:cxn>
            <a:cxn ang="T86">
              <a:pos x="T28" y="T29"/>
            </a:cxn>
            <a:cxn ang="T87">
              <a:pos x="T30" y="T31"/>
            </a:cxn>
            <a:cxn ang="T88">
              <a:pos x="T32" y="T33"/>
            </a:cxn>
            <a:cxn ang="T89">
              <a:pos x="T34" y="T35"/>
            </a:cxn>
            <a:cxn ang="T90">
              <a:pos x="T36" y="T37"/>
            </a:cxn>
            <a:cxn ang="T91">
              <a:pos x="T38" y="T39"/>
            </a:cxn>
            <a:cxn ang="T92">
              <a:pos x="T40" y="T41"/>
            </a:cxn>
            <a:cxn ang="T93">
              <a:pos x="T42" y="T43"/>
            </a:cxn>
            <a:cxn ang="T94">
              <a:pos x="T44" y="T45"/>
            </a:cxn>
            <a:cxn ang="T95">
              <a:pos x="T46" y="T47"/>
            </a:cxn>
            <a:cxn ang="T96">
              <a:pos x="T48" y="T49"/>
            </a:cxn>
            <a:cxn ang="T97">
              <a:pos x="T50" y="T51"/>
            </a:cxn>
            <a:cxn ang="T98">
              <a:pos x="T52" y="T53"/>
            </a:cxn>
            <a:cxn ang="T99">
              <a:pos x="T54" y="T55"/>
            </a:cxn>
            <a:cxn ang="T100">
              <a:pos x="T56" y="T57"/>
            </a:cxn>
            <a:cxn ang="T101">
              <a:pos x="T58" y="T59"/>
            </a:cxn>
            <a:cxn ang="T102">
              <a:pos x="T60" y="T61"/>
            </a:cxn>
            <a:cxn ang="T103">
              <a:pos x="T62" y="T63"/>
            </a:cxn>
            <a:cxn ang="T104">
              <a:pos x="T64" y="T65"/>
            </a:cxn>
            <a:cxn ang="T105">
              <a:pos x="T66" y="T67"/>
            </a:cxn>
            <a:cxn ang="T106">
              <a:pos x="T68" y="T69"/>
            </a:cxn>
            <a:cxn ang="T107">
              <a:pos x="T70" y="T71"/>
            </a:cxn>
          </a:cxnLst>
          <a:rect l="T108" t="T109" r="T110" b="T111"/>
          <a:pathLst>
            <a:path w="378" h="253">
              <a:moveTo>
                <a:pt x="187" y="22"/>
              </a:moveTo>
              <a:lnTo>
                <a:pt x="233" y="0"/>
              </a:lnTo>
              <a:lnTo>
                <a:pt x="273" y="18"/>
              </a:lnTo>
              <a:lnTo>
                <a:pt x="305" y="50"/>
              </a:lnTo>
              <a:lnTo>
                <a:pt x="316" y="32"/>
              </a:lnTo>
              <a:lnTo>
                <a:pt x="359" y="50"/>
              </a:lnTo>
              <a:lnTo>
                <a:pt x="373" y="61"/>
              </a:lnTo>
              <a:lnTo>
                <a:pt x="377" y="75"/>
              </a:lnTo>
              <a:lnTo>
                <a:pt x="370" y="86"/>
              </a:lnTo>
              <a:lnTo>
                <a:pt x="359" y="147"/>
              </a:lnTo>
              <a:lnTo>
                <a:pt x="378" y="170"/>
              </a:lnTo>
              <a:lnTo>
                <a:pt x="363" y="183"/>
              </a:lnTo>
              <a:lnTo>
                <a:pt x="348" y="215"/>
              </a:lnTo>
              <a:lnTo>
                <a:pt x="330" y="229"/>
              </a:lnTo>
              <a:lnTo>
                <a:pt x="273" y="253"/>
              </a:lnTo>
              <a:lnTo>
                <a:pt x="239" y="199"/>
              </a:lnTo>
              <a:lnTo>
                <a:pt x="213" y="193"/>
              </a:lnTo>
              <a:lnTo>
                <a:pt x="205" y="169"/>
              </a:lnTo>
              <a:lnTo>
                <a:pt x="176" y="179"/>
              </a:lnTo>
              <a:lnTo>
                <a:pt x="111" y="172"/>
              </a:lnTo>
              <a:lnTo>
                <a:pt x="79" y="179"/>
              </a:lnTo>
              <a:lnTo>
                <a:pt x="57" y="164"/>
              </a:lnTo>
              <a:lnTo>
                <a:pt x="18" y="186"/>
              </a:lnTo>
              <a:lnTo>
                <a:pt x="7" y="179"/>
              </a:lnTo>
              <a:lnTo>
                <a:pt x="0" y="118"/>
              </a:lnTo>
              <a:lnTo>
                <a:pt x="25" y="90"/>
              </a:lnTo>
              <a:lnTo>
                <a:pt x="18" y="65"/>
              </a:lnTo>
              <a:lnTo>
                <a:pt x="39" y="36"/>
              </a:lnTo>
              <a:lnTo>
                <a:pt x="83" y="18"/>
              </a:lnTo>
              <a:lnTo>
                <a:pt x="90" y="43"/>
              </a:lnTo>
              <a:lnTo>
                <a:pt x="111" y="65"/>
              </a:lnTo>
              <a:lnTo>
                <a:pt x="115" y="86"/>
              </a:lnTo>
              <a:lnTo>
                <a:pt x="144" y="100"/>
              </a:lnTo>
              <a:lnTo>
                <a:pt x="169" y="93"/>
              </a:lnTo>
              <a:lnTo>
                <a:pt x="180" y="75"/>
              </a:lnTo>
              <a:lnTo>
                <a:pt x="187" y="22"/>
              </a:lnTo>
            </a:path>
          </a:pathLst>
        </a:custGeom>
        <a:solidFill>
          <a:srgbClr val="E0EBF8"/>
        </a:solidFill>
        <a:ln w="3175">
          <a:solidFill>
            <a:srgbClr val="E0EBF8"/>
          </a:solidFill>
          <a:round/>
          <a:headEnd/>
          <a:tailEnd/>
        </a:ln>
      </xdr:spPr>
    </xdr:sp>
    <xdr:clientData/>
  </xdr:twoCellAnchor>
  <xdr:twoCellAnchor>
    <xdr:from>
      <xdr:col>5</xdr:col>
      <xdr:colOff>419100</xdr:colOff>
      <xdr:row>21</xdr:row>
      <xdr:rowOff>142875</xdr:rowOff>
    </xdr:from>
    <xdr:to>
      <xdr:col>6</xdr:col>
      <xdr:colOff>190500</xdr:colOff>
      <xdr:row>24</xdr:row>
      <xdr:rowOff>9525</xdr:rowOff>
    </xdr:to>
    <xdr:sp macro="" textlink="">
      <xdr:nvSpPr>
        <xdr:cNvPr id="25652" name="S_LTU"/>
        <xdr:cNvSpPr>
          <a:spLocks noChangeAspect="1"/>
        </xdr:cNvSpPr>
      </xdr:nvSpPr>
      <xdr:spPr bwMode="auto">
        <a:xfrm>
          <a:off x="3390900" y="3552825"/>
          <a:ext cx="485775" cy="352425"/>
        </a:xfrm>
        <a:custGeom>
          <a:avLst/>
          <a:gdLst>
            <a:gd name="T0" fmla="*/ 11223 w 303"/>
            <a:gd name="T1" fmla="*/ 21452 h 230"/>
            <a:gd name="T2" fmla="*/ 27255 w 303"/>
            <a:gd name="T3" fmla="*/ 32178 h 230"/>
            <a:gd name="T4" fmla="*/ 88177 w 303"/>
            <a:gd name="T5" fmla="*/ 0 h 230"/>
            <a:gd name="T6" fmla="*/ 121845 w 303"/>
            <a:gd name="T7" fmla="*/ 21452 h 230"/>
            <a:gd name="T8" fmla="*/ 171544 w 303"/>
            <a:gd name="T9" fmla="*/ 10726 h 230"/>
            <a:gd name="T10" fmla="*/ 270944 w 303"/>
            <a:gd name="T11" fmla="*/ 21452 h 230"/>
            <a:gd name="T12" fmla="*/ 317437 w 303"/>
            <a:gd name="T13" fmla="*/ 4597 h 230"/>
            <a:gd name="T14" fmla="*/ 338279 w 303"/>
            <a:gd name="T15" fmla="*/ 38307 h 230"/>
            <a:gd name="T16" fmla="*/ 376756 w 303"/>
            <a:gd name="T17" fmla="*/ 49033 h 230"/>
            <a:gd name="T18" fmla="*/ 437678 w 303"/>
            <a:gd name="T19" fmla="*/ 130244 h 230"/>
            <a:gd name="T20" fmla="*/ 485775 w 303"/>
            <a:gd name="T21" fmla="*/ 125647 h 230"/>
            <a:gd name="T22" fmla="*/ 476156 w 303"/>
            <a:gd name="T23" fmla="*/ 144035 h 230"/>
            <a:gd name="T24" fmla="*/ 464933 w 303"/>
            <a:gd name="T25" fmla="*/ 156293 h 230"/>
            <a:gd name="T26" fmla="*/ 453711 w 303"/>
            <a:gd name="T27" fmla="*/ 168551 h 230"/>
            <a:gd name="T28" fmla="*/ 442488 w 303"/>
            <a:gd name="T29" fmla="*/ 173148 h 230"/>
            <a:gd name="T30" fmla="*/ 437678 w 303"/>
            <a:gd name="T31" fmla="*/ 179277 h 230"/>
            <a:gd name="T32" fmla="*/ 420043 w 303"/>
            <a:gd name="T33" fmla="*/ 200729 h 230"/>
            <a:gd name="T34" fmla="*/ 387979 w 303"/>
            <a:gd name="T35" fmla="*/ 239036 h 230"/>
            <a:gd name="T36" fmla="*/ 376756 w 303"/>
            <a:gd name="T37" fmla="*/ 281940 h 230"/>
            <a:gd name="T38" fmla="*/ 376756 w 303"/>
            <a:gd name="T39" fmla="*/ 314118 h 230"/>
            <a:gd name="T40" fmla="*/ 347898 w 303"/>
            <a:gd name="T41" fmla="*/ 298795 h 230"/>
            <a:gd name="T42" fmla="*/ 315834 w 303"/>
            <a:gd name="T43" fmla="*/ 314118 h 230"/>
            <a:gd name="T44" fmla="*/ 270944 w 303"/>
            <a:gd name="T45" fmla="*/ 303392 h 230"/>
            <a:gd name="T46" fmla="*/ 227657 w 303"/>
            <a:gd name="T47" fmla="*/ 352425 h 230"/>
            <a:gd name="T48" fmla="*/ 227657 w 303"/>
            <a:gd name="T49" fmla="*/ 330973 h 230"/>
            <a:gd name="T50" fmla="*/ 171544 w 303"/>
            <a:gd name="T51" fmla="*/ 281940 h 230"/>
            <a:gd name="T52" fmla="*/ 176354 w 303"/>
            <a:gd name="T53" fmla="*/ 205326 h 230"/>
            <a:gd name="T54" fmla="*/ 160322 w 303"/>
            <a:gd name="T55" fmla="*/ 173148 h 230"/>
            <a:gd name="T56" fmla="*/ 105812 w 303"/>
            <a:gd name="T57" fmla="*/ 179277 h 230"/>
            <a:gd name="T58" fmla="*/ 56113 w 303"/>
            <a:gd name="T59" fmla="*/ 151696 h 230"/>
            <a:gd name="T60" fmla="*/ 49700 w 303"/>
            <a:gd name="T61" fmla="*/ 124115 h 230"/>
            <a:gd name="T62" fmla="*/ 27255 w 303"/>
            <a:gd name="T63" fmla="*/ 119518 h 230"/>
            <a:gd name="T64" fmla="*/ 27255 w 303"/>
            <a:gd name="T65" fmla="*/ 102663 h 230"/>
            <a:gd name="T66" fmla="*/ 0 w 303"/>
            <a:gd name="T67" fmla="*/ 38307 h 230"/>
            <a:gd name="T68" fmla="*/ 11223 w 303"/>
            <a:gd name="T69" fmla="*/ 21452 h 230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w 303"/>
            <a:gd name="T106" fmla="*/ 0 h 230"/>
            <a:gd name="T107" fmla="*/ 303 w 303"/>
            <a:gd name="T108" fmla="*/ 230 h 230"/>
          </a:gdLst>
          <a:ahLst/>
          <a:cxnLst>
            <a:cxn ang="T70">
              <a:pos x="T0" y="T1"/>
            </a:cxn>
            <a:cxn ang="T71">
              <a:pos x="T2" y="T3"/>
            </a:cxn>
            <a:cxn ang="T72">
              <a:pos x="T4" y="T5"/>
            </a:cxn>
            <a:cxn ang="T73">
              <a:pos x="T6" y="T7"/>
            </a:cxn>
            <a:cxn ang="T74">
              <a:pos x="T8" y="T9"/>
            </a:cxn>
            <a:cxn ang="T75">
              <a:pos x="T10" y="T11"/>
            </a:cxn>
            <a:cxn ang="T76">
              <a:pos x="T12" y="T13"/>
            </a:cxn>
            <a:cxn ang="T77">
              <a:pos x="T14" y="T15"/>
            </a:cxn>
            <a:cxn ang="T78">
              <a:pos x="T16" y="T17"/>
            </a:cxn>
            <a:cxn ang="T79">
              <a:pos x="T18" y="T19"/>
            </a:cxn>
            <a:cxn ang="T80">
              <a:pos x="T20" y="T21"/>
            </a:cxn>
            <a:cxn ang="T81">
              <a:pos x="T22" y="T23"/>
            </a:cxn>
            <a:cxn ang="T82">
              <a:pos x="T24" y="T25"/>
            </a:cxn>
            <a:cxn ang="T83">
              <a:pos x="T26" y="T27"/>
            </a:cxn>
            <a:cxn ang="T84">
              <a:pos x="T28" y="T29"/>
            </a:cxn>
            <a:cxn ang="T85">
              <a:pos x="T30" y="T31"/>
            </a:cxn>
            <a:cxn ang="T86">
              <a:pos x="T32" y="T33"/>
            </a:cxn>
            <a:cxn ang="T87">
              <a:pos x="T34" y="T35"/>
            </a:cxn>
            <a:cxn ang="T88">
              <a:pos x="T36" y="T37"/>
            </a:cxn>
            <a:cxn ang="T89">
              <a:pos x="T38" y="T39"/>
            </a:cxn>
            <a:cxn ang="T90">
              <a:pos x="T40" y="T41"/>
            </a:cxn>
            <a:cxn ang="T91">
              <a:pos x="T42" y="T43"/>
            </a:cxn>
            <a:cxn ang="T92">
              <a:pos x="T44" y="T45"/>
            </a:cxn>
            <a:cxn ang="T93">
              <a:pos x="T46" y="T47"/>
            </a:cxn>
            <a:cxn ang="T94">
              <a:pos x="T48" y="T49"/>
            </a:cxn>
            <a:cxn ang="T95">
              <a:pos x="T50" y="T51"/>
            </a:cxn>
            <a:cxn ang="T96">
              <a:pos x="T52" y="T53"/>
            </a:cxn>
            <a:cxn ang="T97">
              <a:pos x="T54" y="T55"/>
            </a:cxn>
            <a:cxn ang="T98">
              <a:pos x="T56" y="T57"/>
            </a:cxn>
            <a:cxn ang="T99">
              <a:pos x="T58" y="T59"/>
            </a:cxn>
            <a:cxn ang="T100">
              <a:pos x="T60" y="T61"/>
            </a:cxn>
            <a:cxn ang="T101">
              <a:pos x="T62" y="T63"/>
            </a:cxn>
            <a:cxn ang="T102">
              <a:pos x="T64" y="T65"/>
            </a:cxn>
            <a:cxn ang="T103">
              <a:pos x="T66" y="T67"/>
            </a:cxn>
            <a:cxn ang="T104">
              <a:pos x="T68" y="T69"/>
            </a:cxn>
          </a:cxnLst>
          <a:rect l="T105" t="T106" r="T107" b="T108"/>
          <a:pathLst>
            <a:path w="303" h="230">
              <a:moveTo>
                <a:pt x="7" y="14"/>
              </a:moveTo>
              <a:lnTo>
                <a:pt x="17" y="21"/>
              </a:lnTo>
              <a:lnTo>
                <a:pt x="55" y="0"/>
              </a:lnTo>
              <a:lnTo>
                <a:pt x="76" y="14"/>
              </a:lnTo>
              <a:lnTo>
                <a:pt x="107" y="7"/>
              </a:lnTo>
              <a:lnTo>
                <a:pt x="169" y="14"/>
              </a:lnTo>
              <a:lnTo>
                <a:pt x="198" y="3"/>
              </a:lnTo>
              <a:lnTo>
                <a:pt x="211" y="25"/>
              </a:lnTo>
              <a:lnTo>
                <a:pt x="235" y="32"/>
              </a:lnTo>
              <a:lnTo>
                <a:pt x="273" y="85"/>
              </a:lnTo>
              <a:lnTo>
                <a:pt x="303" y="82"/>
              </a:lnTo>
              <a:lnTo>
                <a:pt x="297" y="94"/>
              </a:lnTo>
              <a:lnTo>
                <a:pt x="290" y="102"/>
              </a:lnTo>
              <a:lnTo>
                <a:pt x="283" y="110"/>
              </a:lnTo>
              <a:lnTo>
                <a:pt x="276" y="113"/>
              </a:lnTo>
              <a:lnTo>
                <a:pt x="273" y="117"/>
              </a:lnTo>
              <a:lnTo>
                <a:pt x="262" y="131"/>
              </a:lnTo>
              <a:lnTo>
                <a:pt x="242" y="156"/>
              </a:lnTo>
              <a:lnTo>
                <a:pt x="235" y="184"/>
              </a:lnTo>
              <a:lnTo>
                <a:pt x="235" y="205"/>
              </a:lnTo>
              <a:lnTo>
                <a:pt x="217" y="195"/>
              </a:lnTo>
              <a:lnTo>
                <a:pt x="197" y="205"/>
              </a:lnTo>
              <a:lnTo>
                <a:pt x="169" y="198"/>
              </a:lnTo>
              <a:lnTo>
                <a:pt x="142" y="230"/>
              </a:lnTo>
              <a:lnTo>
                <a:pt x="142" y="216"/>
              </a:lnTo>
              <a:lnTo>
                <a:pt x="107" y="184"/>
              </a:lnTo>
              <a:lnTo>
                <a:pt x="110" y="134"/>
              </a:lnTo>
              <a:lnTo>
                <a:pt x="100" y="113"/>
              </a:lnTo>
              <a:lnTo>
                <a:pt x="66" y="117"/>
              </a:lnTo>
              <a:lnTo>
                <a:pt x="35" y="99"/>
              </a:lnTo>
              <a:lnTo>
                <a:pt x="31" y="81"/>
              </a:lnTo>
              <a:lnTo>
                <a:pt x="17" y="78"/>
              </a:lnTo>
              <a:lnTo>
                <a:pt x="17" y="67"/>
              </a:lnTo>
              <a:lnTo>
                <a:pt x="0" y="25"/>
              </a:lnTo>
              <a:lnTo>
                <a:pt x="7" y="14"/>
              </a:lnTo>
            </a:path>
          </a:pathLst>
        </a:custGeom>
        <a:solidFill>
          <a:srgbClr val="D9E6F6"/>
        </a:solidFill>
        <a:ln w="3175">
          <a:solidFill>
            <a:srgbClr val="D9E6F6"/>
          </a:solidFill>
          <a:round/>
          <a:headEnd/>
          <a:tailEnd/>
        </a:ln>
      </xdr:spPr>
    </xdr:sp>
    <xdr:clientData/>
  </xdr:twoCellAnchor>
  <xdr:twoCellAnchor>
    <xdr:from>
      <xdr:col>5</xdr:col>
      <xdr:colOff>476250</xdr:colOff>
      <xdr:row>32</xdr:row>
      <xdr:rowOff>114300</xdr:rowOff>
    </xdr:from>
    <xdr:to>
      <xdr:col>5</xdr:col>
      <xdr:colOff>647700</xdr:colOff>
      <xdr:row>33</xdr:row>
      <xdr:rowOff>114300</xdr:rowOff>
    </xdr:to>
    <xdr:sp macro="" textlink="">
      <xdr:nvSpPr>
        <xdr:cNvPr id="25653" name="S_MKD"/>
        <xdr:cNvSpPr>
          <a:spLocks noChangeAspect="1"/>
        </xdr:cNvSpPr>
      </xdr:nvSpPr>
      <xdr:spPr bwMode="auto">
        <a:xfrm>
          <a:off x="3448050" y="5305425"/>
          <a:ext cx="171450" cy="161925"/>
        </a:xfrm>
        <a:custGeom>
          <a:avLst/>
          <a:gdLst>
            <a:gd name="T0" fmla="*/ 37407 w 110"/>
            <a:gd name="T1" fmla="*/ 161925 h 103"/>
            <a:gd name="T2" fmla="*/ 9352 w 110"/>
            <a:gd name="T3" fmla="*/ 136772 h 103"/>
            <a:gd name="T4" fmla="*/ 0 w 110"/>
            <a:gd name="T5" fmla="*/ 40874 h 103"/>
            <a:gd name="T6" fmla="*/ 37407 w 110"/>
            <a:gd name="T7" fmla="*/ 9433 h 103"/>
            <a:gd name="T8" fmla="*/ 43642 w 110"/>
            <a:gd name="T9" fmla="*/ 20437 h 103"/>
            <a:gd name="T10" fmla="*/ 99753 w 110"/>
            <a:gd name="T11" fmla="*/ 0 h 103"/>
            <a:gd name="T12" fmla="*/ 129367 w 110"/>
            <a:gd name="T13" fmla="*/ 9433 h 103"/>
            <a:gd name="T14" fmla="*/ 171450 w 110"/>
            <a:gd name="T15" fmla="*/ 31442 h 103"/>
            <a:gd name="T16" fmla="*/ 162098 w 110"/>
            <a:gd name="T17" fmla="*/ 100614 h 103"/>
            <a:gd name="T18" fmla="*/ 134043 w 110"/>
            <a:gd name="T19" fmla="*/ 121051 h 103"/>
            <a:gd name="T20" fmla="*/ 109105 w 110"/>
            <a:gd name="T21" fmla="*/ 116334 h 103"/>
            <a:gd name="T22" fmla="*/ 71697 w 110"/>
            <a:gd name="T23" fmla="*/ 146204 h 103"/>
            <a:gd name="T24" fmla="*/ 37407 w 110"/>
            <a:gd name="T25" fmla="*/ 161925 h 103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w 110"/>
            <a:gd name="T40" fmla="*/ 0 h 103"/>
            <a:gd name="T41" fmla="*/ 110 w 110"/>
            <a:gd name="T42" fmla="*/ 103 h 103"/>
          </a:gdLst>
          <a:ahLst/>
          <a:cxnLst>
            <a:cxn ang="T26">
              <a:pos x="T0" y="T1"/>
            </a:cxn>
            <a:cxn ang="T27">
              <a:pos x="T2" y="T3"/>
            </a:cxn>
            <a:cxn ang="T28">
              <a:pos x="T4" y="T5"/>
            </a:cxn>
            <a:cxn ang="T29">
              <a:pos x="T6" y="T7"/>
            </a:cxn>
            <a:cxn ang="T30">
              <a:pos x="T8" y="T9"/>
            </a:cxn>
            <a:cxn ang="T31">
              <a:pos x="T10" y="T11"/>
            </a:cxn>
            <a:cxn ang="T32">
              <a:pos x="T12" y="T13"/>
            </a:cxn>
            <a:cxn ang="T33">
              <a:pos x="T14" y="T15"/>
            </a:cxn>
            <a:cxn ang="T34">
              <a:pos x="T16" y="T17"/>
            </a:cxn>
            <a:cxn ang="T35">
              <a:pos x="T18" y="T19"/>
            </a:cxn>
            <a:cxn ang="T36">
              <a:pos x="T20" y="T21"/>
            </a:cxn>
            <a:cxn ang="T37">
              <a:pos x="T22" y="T23"/>
            </a:cxn>
            <a:cxn ang="T38">
              <a:pos x="T24" y="T25"/>
            </a:cxn>
          </a:cxnLst>
          <a:rect l="T39" t="T40" r="T41" b="T42"/>
          <a:pathLst>
            <a:path w="110" h="103">
              <a:moveTo>
                <a:pt x="24" y="103"/>
              </a:moveTo>
              <a:lnTo>
                <a:pt x="6" y="87"/>
              </a:lnTo>
              <a:lnTo>
                <a:pt x="0" y="26"/>
              </a:lnTo>
              <a:lnTo>
                <a:pt x="24" y="6"/>
              </a:lnTo>
              <a:lnTo>
                <a:pt x="28" y="13"/>
              </a:lnTo>
              <a:lnTo>
                <a:pt x="64" y="0"/>
              </a:lnTo>
              <a:lnTo>
                <a:pt x="83" y="6"/>
              </a:lnTo>
              <a:lnTo>
                <a:pt x="110" y="20"/>
              </a:lnTo>
              <a:lnTo>
                <a:pt x="104" y="64"/>
              </a:lnTo>
              <a:lnTo>
                <a:pt x="86" y="77"/>
              </a:lnTo>
              <a:lnTo>
                <a:pt x="70" y="74"/>
              </a:lnTo>
              <a:lnTo>
                <a:pt x="46" y="93"/>
              </a:lnTo>
              <a:lnTo>
                <a:pt x="24" y="103"/>
              </a:lnTo>
            </a:path>
          </a:pathLst>
        </a:custGeom>
        <a:solidFill>
          <a:srgbClr val="E6EFF9"/>
        </a:solidFill>
        <a:ln w="3175">
          <a:solidFill>
            <a:srgbClr val="E6EFF9"/>
          </a:solidFill>
          <a:round/>
          <a:headEnd/>
          <a:tailEnd/>
        </a:ln>
      </xdr:spPr>
    </xdr:sp>
    <xdr:clientData/>
  </xdr:twoCellAnchor>
  <xdr:twoCellAnchor>
    <xdr:from>
      <xdr:col>4</xdr:col>
      <xdr:colOff>466725</xdr:colOff>
      <xdr:row>37</xdr:row>
      <xdr:rowOff>66675</xdr:rowOff>
    </xdr:from>
    <xdr:to>
      <xdr:col>4</xdr:col>
      <xdr:colOff>514350</xdr:colOff>
      <xdr:row>37</xdr:row>
      <xdr:rowOff>123825</xdr:rowOff>
    </xdr:to>
    <xdr:grpSp>
      <xdr:nvGrpSpPr>
        <xdr:cNvPr id="25654" name="S_MAL"/>
        <xdr:cNvGrpSpPr>
          <a:grpSpLocks/>
        </xdr:cNvGrpSpPr>
      </xdr:nvGrpSpPr>
      <xdr:grpSpPr bwMode="auto">
        <a:xfrm>
          <a:off x="2724150" y="6496050"/>
          <a:ext cx="47625" cy="57150"/>
          <a:chOff x="2724150" y="6067425"/>
          <a:chExt cx="47625" cy="57150"/>
        </a:xfrm>
      </xdr:grpSpPr>
      <xdr:sp macro="" textlink="">
        <xdr:nvSpPr>
          <xdr:cNvPr id="25712" name="S_MAL2"/>
          <xdr:cNvSpPr>
            <a:spLocks noChangeAspect="1"/>
          </xdr:cNvSpPr>
        </xdr:nvSpPr>
        <xdr:spPr bwMode="auto">
          <a:xfrm>
            <a:off x="2762250" y="6105525"/>
            <a:ext cx="9525" cy="19050"/>
          </a:xfrm>
          <a:custGeom>
            <a:avLst/>
            <a:gdLst>
              <a:gd name="T0" fmla="*/ 3175 w 6"/>
              <a:gd name="T1" fmla="*/ 16933 h 9"/>
              <a:gd name="T2" fmla="*/ 0 w 6"/>
              <a:gd name="T3" fmla="*/ 0 h 9"/>
              <a:gd name="T4" fmla="*/ 3175 w 6"/>
              <a:gd name="T5" fmla="*/ 0 h 9"/>
              <a:gd name="T6" fmla="*/ 7938 w 6"/>
              <a:gd name="T7" fmla="*/ 10583 h 9"/>
              <a:gd name="T8" fmla="*/ 3175 w 6"/>
              <a:gd name="T9" fmla="*/ 16933 h 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6"/>
              <a:gd name="T16" fmla="*/ 0 h 9"/>
              <a:gd name="T17" fmla="*/ 6 w 6"/>
              <a:gd name="T18" fmla="*/ 9 h 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6" h="9">
                <a:moveTo>
                  <a:pt x="2" y="8"/>
                </a:moveTo>
                <a:lnTo>
                  <a:pt x="0" y="0"/>
                </a:lnTo>
                <a:lnTo>
                  <a:pt x="2" y="0"/>
                </a:lnTo>
                <a:lnTo>
                  <a:pt x="5" y="5"/>
                </a:lnTo>
                <a:lnTo>
                  <a:pt x="2" y="8"/>
                </a:lnTo>
              </a:path>
            </a:pathLst>
          </a:custGeom>
          <a:solidFill>
            <a:srgbClr val="FFFFFF"/>
          </a:solidFill>
          <a:ln w="3175">
            <a:solidFill>
              <a:srgbClr val="FFFFFF"/>
            </a:solidFill>
            <a:round/>
            <a:headEnd/>
            <a:tailEnd/>
          </a:ln>
        </xdr:spPr>
      </xdr:sp>
      <xdr:sp macro="" textlink="">
        <xdr:nvSpPr>
          <xdr:cNvPr id="25713" name="S_MAL1"/>
          <xdr:cNvSpPr>
            <a:spLocks noChangeAspect="1"/>
          </xdr:cNvSpPr>
        </xdr:nvSpPr>
        <xdr:spPr bwMode="auto">
          <a:xfrm>
            <a:off x="2724150" y="6067425"/>
            <a:ext cx="28575" cy="28575"/>
          </a:xfrm>
          <a:custGeom>
            <a:avLst/>
            <a:gdLst>
              <a:gd name="T0" fmla="*/ 18047 w 19"/>
              <a:gd name="T1" fmla="*/ 27214 h 21"/>
              <a:gd name="T2" fmla="*/ 0 w 19"/>
              <a:gd name="T3" fmla="*/ 0 h 21"/>
              <a:gd name="T4" fmla="*/ 27071 w 19"/>
              <a:gd name="T5" fmla="*/ 17689 h 21"/>
              <a:gd name="T6" fmla="*/ 18047 w 19"/>
              <a:gd name="T7" fmla="*/ 27214 h 21"/>
              <a:gd name="T8" fmla="*/ 0 60000 65536"/>
              <a:gd name="T9" fmla="*/ 0 60000 65536"/>
              <a:gd name="T10" fmla="*/ 0 60000 65536"/>
              <a:gd name="T11" fmla="*/ 0 60000 65536"/>
              <a:gd name="T12" fmla="*/ 0 w 19"/>
              <a:gd name="T13" fmla="*/ 0 h 21"/>
              <a:gd name="T14" fmla="*/ 19 w 19"/>
              <a:gd name="T15" fmla="*/ 21 h 21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9" h="21">
                <a:moveTo>
                  <a:pt x="12" y="20"/>
                </a:moveTo>
                <a:lnTo>
                  <a:pt x="0" y="0"/>
                </a:lnTo>
                <a:lnTo>
                  <a:pt x="18" y="13"/>
                </a:lnTo>
                <a:lnTo>
                  <a:pt x="12" y="20"/>
                </a:lnTo>
              </a:path>
            </a:pathLst>
          </a:custGeom>
          <a:solidFill>
            <a:srgbClr val="FFFFFF"/>
          </a:solidFill>
          <a:ln w="3175">
            <a:solidFill>
              <a:srgbClr val="FFFFFF"/>
            </a:solidFill>
            <a:round/>
            <a:headEnd/>
            <a:tailEnd/>
          </a:ln>
        </xdr:spPr>
      </xdr:sp>
    </xdr:grpSp>
    <xdr:clientData/>
  </xdr:twoCellAnchor>
  <xdr:twoCellAnchor>
    <xdr:from>
      <xdr:col>3</xdr:col>
      <xdr:colOff>466725</xdr:colOff>
      <xdr:row>3</xdr:row>
      <xdr:rowOff>0</xdr:rowOff>
    </xdr:from>
    <xdr:to>
      <xdr:col>6</xdr:col>
      <xdr:colOff>561975</xdr:colOff>
      <xdr:row>19</xdr:row>
      <xdr:rowOff>133350</xdr:rowOff>
    </xdr:to>
    <xdr:grpSp>
      <xdr:nvGrpSpPr>
        <xdr:cNvPr id="25655" name="S_NOR"/>
        <xdr:cNvGrpSpPr>
          <a:grpSpLocks/>
        </xdr:cNvGrpSpPr>
      </xdr:nvGrpSpPr>
      <xdr:grpSpPr bwMode="auto">
        <a:xfrm>
          <a:off x="2009775" y="923925"/>
          <a:ext cx="2238375" cy="2724150"/>
          <a:chOff x="211" y="69"/>
          <a:chExt cx="235" cy="286"/>
        </a:xfrm>
      </xdr:grpSpPr>
      <xdr:sp macro="" textlink="">
        <xdr:nvSpPr>
          <xdr:cNvPr id="25707" name="S_NOR5"/>
          <xdr:cNvSpPr>
            <a:spLocks noChangeAspect="1"/>
          </xdr:cNvSpPr>
        </xdr:nvSpPr>
        <xdr:spPr bwMode="auto">
          <a:xfrm>
            <a:off x="211" y="69"/>
            <a:ext cx="235" cy="286"/>
          </a:xfrm>
          <a:custGeom>
            <a:avLst/>
            <a:gdLst>
              <a:gd name="T0" fmla="*/ 209 w 1408"/>
              <a:gd name="T1" fmla="*/ 56 h 1750"/>
              <a:gd name="T2" fmla="*/ 214 w 1408"/>
              <a:gd name="T3" fmla="*/ 38 h 1750"/>
              <a:gd name="T4" fmla="*/ 195 w 1408"/>
              <a:gd name="T5" fmla="*/ 36 h 1750"/>
              <a:gd name="T6" fmla="*/ 178 w 1408"/>
              <a:gd name="T7" fmla="*/ 70 h 1750"/>
              <a:gd name="T8" fmla="*/ 150 w 1408"/>
              <a:gd name="T9" fmla="*/ 53 h 1750"/>
              <a:gd name="T10" fmla="*/ 139 w 1408"/>
              <a:gd name="T11" fmla="*/ 57 h 1750"/>
              <a:gd name="T12" fmla="*/ 134 w 1408"/>
              <a:gd name="T13" fmla="*/ 65 h 1750"/>
              <a:gd name="T14" fmla="*/ 116 w 1408"/>
              <a:gd name="T15" fmla="*/ 73 h 1750"/>
              <a:gd name="T16" fmla="*/ 111 w 1408"/>
              <a:gd name="T17" fmla="*/ 81 h 1750"/>
              <a:gd name="T18" fmla="*/ 104 w 1408"/>
              <a:gd name="T19" fmla="*/ 107 h 1750"/>
              <a:gd name="T20" fmla="*/ 91 w 1408"/>
              <a:gd name="T21" fmla="*/ 132 h 1750"/>
              <a:gd name="T22" fmla="*/ 86 w 1408"/>
              <a:gd name="T23" fmla="*/ 145 h 1750"/>
              <a:gd name="T24" fmla="*/ 76 w 1408"/>
              <a:gd name="T25" fmla="*/ 170 h 1750"/>
              <a:gd name="T26" fmla="*/ 62 w 1408"/>
              <a:gd name="T27" fmla="*/ 181 h 1750"/>
              <a:gd name="T28" fmla="*/ 64 w 1408"/>
              <a:gd name="T29" fmla="*/ 215 h 1750"/>
              <a:gd name="T30" fmla="*/ 69 w 1408"/>
              <a:gd name="T31" fmla="*/ 252 h 1750"/>
              <a:gd name="T32" fmla="*/ 61 w 1408"/>
              <a:gd name="T33" fmla="*/ 272 h 1750"/>
              <a:gd name="T34" fmla="*/ 51 w 1408"/>
              <a:gd name="T35" fmla="*/ 264 h 1750"/>
              <a:gd name="T36" fmla="*/ 46 w 1408"/>
              <a:gd name="T37" fmla="*/ 264 h 1750"/>
              <a:gd name="T38" fmla="*/ 34 w 1408"/>
              <a:gd name="T39" fmla="*/ 283 h 1750"/>
              <a:gd name="T40" fmla="*/ 24 w 1408"/>
              <a:gd name="T41" fmla="*/ 286 h 1750"/>
              <a:gd name="T42" fmla="*/ 11 w 1408"/>
              <a:gd name="T43" fmla="*/ 279 h 1750"/>
              <a:gd name="T44" fmla="*/ 3 w 1408"/>
              <a:gd name="T45" fmla="*/ 264 h 1750"/>
              <a:gd name="T46" fmla="*/ 4 w 1408"/>
              <a:gd name="T47" fmla="*/ 232 h 1750"/>
              <a:gd name="T48" fmla="*/ 4 w 1408"/>
              <a:gd name="T49" fmla="*/ 225 h 1750"/>
              <a:gd name="T50" fmla="*/ 2 w 1408"/>
              <a:gd name="T51" fmla="*/ 215 h 1750"/>
              <a:gd name="T52" fmla="*/ 24 w 1408"/>
              <a:gd name="T53" fmla="*/ 191 h 1750"/>
              <a:gd name="T54" fmla="*/ 38 w 1408"/>
              <a:gd name="T55" fmla="*/ 176 h 1750"/>
              <a:gd name="T56" fmla="*/ 52 w 1408"/>
              <a:gd name="T57" fmla="*/ 182 h 1750"/>
              <a:gd name="T58" fmla="*/ 51 w 1408"/>
              <a:gd name="T59" fmla="*/ 163 h 1750"/>
              <a:gd name="T60" fmla="*/ 56 w 1408"/>
              <a:gd name="T61" fmla="*/ 158 h 1750"/>
              <a:gd name="T62" fmla="*/ 64 w 1408"/>
              <a:gd name="T63" fmla="*/ 144 h 1750"/>
              <a:gd name="T64" fmla="*/ 71 w 1408"/>
              <a:gd name="T65" fmla="*/ 122 h 1750"/>
              <a:gd name="T66" fmla="*/ 79 w 1408"/>
              <a:gd name="T67" fmla="*/ 106 h 1750"/>
              <a:gd name="T68" fmla="*/ 89 w 1408"/>
              <a:gd name="T69" fmla="*/ 100 h 1750"/>
              <a:gd name="T70" fmla="*/ 94 w 1408"/>
              <a:gd name="T71" fmla="*/ 97 h 1750"/>
              <a:gd name="T72" fmla="*/ 95 w 1408"/>
              <a:gd name="T73" fmla="*/ 94 h 1750"/>
              <a:gd name="T74" fmla="*/ 88 w 1408"/>
              <a:gd name="T75" fmla="*/ 84 h 1750"/>
              <a:gd name="T76" fmla="*/ 102 w 1408"/>
              <a:gd name="T77" fmla="*/ 73 h 1750"/>
              <a:gd name="T78" fmla="*/ 114 w 1408"/>
              <a:gd name="T79" fmla="*/ 52 h 1750"/>
              <a:gd name="T80" fmla="*/ 106 w 1408"/>
              <a:gd name="T81" fmla="*/ 46 h 1750"/>
              <a:gd name="T82" fmla="*/ 126 w 1408"/>
              <a:gd name="T83" fmla="*/ 41 h 1750"/>
              <a:gd name="T84" fmla="*/ 141 w 1408"/>
              <a:gd name="T85" fmla="*/ 33 h 1750"/>
              <a:gd name="T86" fmla="*/ 145 w 1408"/>
              <a:gd name="T87" fmla="*/ 29 h 1750"/>
              <a:gd name="T88" fmla="*/ 158 w 1408"/>
              <a:gd name="T89" fmla="*/ 33 h 1750"/>
              <a:gd name="T90" fmla="*/ 169 w 1408"/>
              <a:gd name="T91" fmla="*/ 18 h 1750"/>
              <a:gd name="T92" fmla="*/ 176 w 1408"/>
              <a:gd name="T93" fmla="*/ 4 h 1750"/>
              <a:gd name="T94" fmla="*/ 177 w 1408"/>
              <a:gd name="T95" fmla="*/ 32 h 1750"/>
              <a:gd name="T96" fmla="*/ 192 w 1408"/>
              <a:gd name="T97" fmla="*/ 6 h 1750"/>
              <a:gd name="T98" fmla="*/ 204 w 1408"/>
              <a:gd name="T99" fmla="*/ 0 h 1750"/>
              <a:gd name="T100" fmla="*/ 208 w 1408"/>
              <a:gd name="T101" fmla="*/ 11 h 1750"/>
              <a:gd name="T102" fmla="*/ 212 w 1408"/>
              <a:gd name="T103" fmla="*/ 9 h 1750"/>
              <a:gd name="T104" fmla="*/ 218 w 1408"/>
              <a:gd name="T105" fmla="*/ 12 h 1750"/>
              <a:gd name="T106" fmla="*/ 235 w 1408"/>
              <a:gd name="T107" fmla="*/ 23 h 1750"/>
              <a:gd name="T108" fmla="*/ 212 w 1408"/>
              <a:gd name="T109" fmla="*/ 28 h 1750"/>
              <a:gd name="T110" fmla="*/ 228 w 1408"/>
              <a:gd name="T111" fmla="*/ 46 h 1750"/>
              <a:gd name="T112" fmla="*/ 222 w 1408"/>
              <a:gd name="T113" fmla="*/ 47 h 1750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w 1408"/>
              <a:gd name="T172" fmla="*/ 0 h 1750"/>
              <a:gd name="T173" fmla="*/ 1408 w 1408"/>
              <a:gd name="T174" fmla="*/ 1750 h 1750"/>
            </a:gdLst>
            <a:ahLst/>
            <a:cxnLst>
              <a:cxn ang="T114">
                <a:pos x="T0" y="T1"/>
              </a:cxn>
              <a:cxn ang="T115">
                <a:pos x="T2" y="T3"/>
              </a:cxn>
              <a:cxn ang="T116">
                <a:pos x="T4" y="T5"/>
              </a:cxn>
              <a:cxn ang="T117">
                <a:pos x="T6" y="T7"/>
              </a:cxn>
              <a:cxn ang="T118">
                <a:pos x="T8" y="T9"/>
              </a:cxn>
              <a:cxn ang="T119">
                <a:pos x="T10" y="T11"/>
              </a:cxn>
              <a:cxn ang="T120">
                <a:pos x="T12" y="T13"/>
              </a:cxn>
              <a:cxn ang="T121">
                <a:pos x="T14" y="T15"/>
              </a:cxn>
              <a:cxn ang="T122">
                <a:pos x="T16" y="T17"/>
              </a:cxn>
              <a:cxn ang="T123">
                <a:pos x="T18" y="T19"/>
              </a:cxn>
              <a:cxn ang="T124">
                <a:pos x="T20" y="T21"/>
              </a:cxn>
              <a:cxn ang="T125">
                <a:pos x="T22" y="T23"/>
              </a:cxn>
              <a:cxn ang="T126">
                <a:pos x="T24" y="T25"/>
              </a:cxn>
              <a:cxn ang="T127">
                <a:pos x="T26" y="T27"/>
              </a:cxn>
              <a:cxn ang="T128">
                <a:pos x="T28" y="T29"/>
              </a:cxn>
              <a:cxn ang="T129">
                <a:pos x="T30" y="T31"/>
              </a:cxn>
              <a:cxn ang="T130">
                <a:pos x="T32" y="T33"/>
              </a:cxn>
              <a:cxn ang="T131">
                <a:pos x="T34" y="T35"/>
              </a:cxn>
              <a:cxn ang="T132">
                <a:pos x="T36" y="T37"/>
              </a:cxn>
              <a:cxn ang="T133">
                <a:pos x="T38" y="T39"/>
              </a:cxn>
              <a:cxn ang="T134">
                <a:pos x="T40" y="T41"/>
              </a:cxn>
              <a:cxn ang="T135">
                <a:pos x="T42" y="T43"/>
              </a:cxn>
              <a:cxn ang="T136">
                <a:pos x="T44" y="T45"/>
              </a:cxn>
              <a:cxn ang="T137">
                <a:pos x="T46" y="T47"/>
              </a:cxn>
              <a:cxn ang="T138">
                <a:pos x="T48" y="T49"/>
              </a:cxn>
              <a:cxn ang="T139">
                <a:pos x="T50" y="T51"/>
              </a:cxn>
              <a:cxn ang="T140">
                <a:pos x="T52" y="T53"/>
              </a:cxn>
              <a:cxn ang="T141">
                <a:pos x="T54" y="T55"/>
              </a:cxn>
              <a:cxn ang="T142">
                <a:pos x="T56" y="T57"/>
              </a:cxn>
              <a:cxn ang="T143">
                <a:pos x="T58" y="T59"/>
              </a:cxn>
              <a:cxn ang="T144">
                <a:pos x="T60" y="T61"/>
              </a:cxn>
              <a:cxn ang="T145">
                <a:pos x="T62" y="T63"/>
              </a:cxn>
              <a:cxn ang="T146">
                <a:pos x="T64" y="T65"/>
              </a:cxn>
              <a:cxn ang="T147">
                <a:pos x="T66" y="T67"/>
              </a:cxn>
              <a:cxn ang="T148">
                <a:pos x="T68" y="T69"/>
              </a:cxn>
              <a:cxn ang="T149">
                <a:pos x="T70" y="T71"/>
              </a:cxn>
              <a:cxn ang="T150">
                <a:pos x="T72" y="T73"/>
              </a:cxn>
              <a:cxn ang="T151">
                <a:pos x="T74" y="T75"/>
              </a:cxn>
              <a:cxn ang="T152">
                <a:pos x="T76" y="T77"/>
              </a:cxn>
              <a:cxn ang="T153">
                <a:pos x="T78" y="T79"/>
              </a:cxn>
              <a:cxn ang="T154">
                <a:pos x="T80" y="T81"/>
              </a:cxn>
              <a:cxn ang="T155">
                <a:pos x="T82" y="T83"/>
              </a:cxn>
              <a:cxn ang="T156">
                <a:pos x="T84" y="T85"/>
              </a:cxn>
              <a:cxn ang="T157">
                <a:pos x="T86" y="T87"/>
              </a:cxn>
              <a:cxn ang="T158">
                <a:pos x="T88" y="T89"/>
              </a:cxn>
              <a:cxn ang="T159">
                <a:pos x="T90" y="T91"/>
              </a:cxn>
              <a:cxn ang="T160">
                <a:pos x="T92" y="T93"/>
              </a:cxn>
              <a:cxn ang="T161">
                <a:pos x="T94" y="T95"/>
              </a:cxn>
              <a:cxn ang="T162">
                <a:pos x="T96" y="T97"/>
              </a:cxn>
              <a:cxn ang="T163">
                <a:pos x="T98" y="T99"/>
              </a:cxn>
              <a:cxn ang="T164">
                <a:pos x="T100" y="T101"/>
              </a:cxn>
              <a:cxn ang="T165">
                <a:pos x="T102" y="T103"/>
              </a:cxn>
              <a:cxn ang="T166">
                <a:pos x="T104" y="T105"/>
              </a:cxn>
              <a:cxn ang="T167">
                <a:pos x="T106" y="T107"/>
              </a:cxn>
              <a:cxn ang="T168">
                <a:pos x="T108" y="T109"/>
              </a:cxn>
              <a:cxn ang="T169">
                <a:pos x="T110" y="T111"/>
              </a:cxn>
              <a:cxn ang="T170">
                <a:pos x="T112" y="T113"/>
              </a:cxn>
            </a:cxnLst>
            <a:rect l="T171" t="T172" r="T173" b="T174"/>
            <a:pathLst>
              <a:path w="1408" h="1750">
                <a:moveTo>
                  <a:pt x="1292" y="346"/>
                </a:moveTo>
                <a:lnTo>
                  <a:pt x="1254" y="354"/>
                </a:lnTo>
                <a:lnTo>
                  <a:pt x="1251" y="342"/>
                </a:lnTo>
                <a:lnTo>
                  <a:pt x="1273" y="320"/>
                </a:lnTo>
                <a:lnTo>
                  <a:pt x="1292" y="263"/>
                </a:lnTo>
                <a:lnTo>
                  <a:pt x="1281" y="230"/>
                </a:lnTo>
                <a:lnTo>
                  <a:pt x="1251" y="241"/>
                </a:lnTo>
                <a:lnTo>
                  <a:pt x="1228" y="203"/>
                </a:lnTo>
                <a:lnTo>
                  <a:pt x="1168" y="218"/>
                </a:lnTo>
                <a:lnTo>
                  <a:pt x="1123" y="290"/>
                </a:lnTo>
                <a:lnTo>
                  <a:pt x="1112" y="376"/>
                </a:lnTo>
                <a:lnTo>
                  <a:pt x="1067" y="429"/>
                </a:lnTo>
                <a:lnTo>
                  <a:pt x="1026" y="403"/>
                </a:lnTo>
                <a:lnTo>
                  <a:pt x="947" y="406"/>
                </a:lnTo>
                <a:lnTo>
                  <a:pt x="899" y="324"/>
                </a:lnTo>
                <a:lnTo>
                  <a:pt x="865" y="331"/>
                </a:lnTo>
                <a:lnTo>
                  <a:pt x="861" y="346"/>
                </a:lnTo>
                <a:lnTo>
                  <a:pt x="835" y="346"/>
                </a:lnTo>
                <a:lnTo>
                  <a:pt x="843" y="350"/>
                </a:lnTo>
                <a:lnTo>
                  <a:pt x="813" y="354"/>
                </a:lnTo>
                <a:lnTo>
                  <a:pt x="801" y="399"/>
                </a:lnTo>
                <a:lnTo>
                  <a:pt x="801" y="448"/>
                </a:lnTo>
                <a:lnTo>
                  <a:pt x="719" y="422"/>
                </a:lnTo>
                <a:lnTo>
                  <a:pt x="693" y="444"/>
                </a:lnTo>
                <a:lnTo>
                  <a:pt x="711" y="489"/>
                </a:lnTo>
                <a:lnTo>
                  <a:pt x="689" y="508"/>
                </a:lnTo>
                <a:lnTo>
                  <a:pt x="667" y="497"/>
                </a:lnTo>
                <a:lnTo>
                  <a:pt x="622" y="553"/>
                </a:lnTo>
                <a:lnTo>
                  <a:pt x="607" y="587"/>
                </a:lnTo>
                <a:lnTo>
                  <a:pt x="625" y="655"/>
                </a:lnTo>
                <a:lnTo>
                  <a:pt x="543" y="745"/>
                </a:lnTo>
                <a:lnTo>
                  <a:pt x="562" y="772"/>
                </a:lnTo>
                <a:lnTo>
                  <a:pt x="547" y="805"/>
                </a:lnTo>
                <a:lnTo>
                  <a:pt x="521" y="794"/>
                </a:lnTo>
                <a:lnTo>
                  <a:pt x="517" y="805"/>
                </a:lnTo>
                <a:lnTo>
                  <a:pt x="517" y="888"/>
                </a:lnTo>
                <a:lnTo>
                  <a:pt x="472" y="986"/>
                </a:lnTo>
                <a:lnTo>
                  <a:pt x="494" y="1031"/>
                </a:lnTo>
                <a:lnTo>
                  <a:pt x="457" y="1042"/>
                </a:lnTo>
                <a:lnTo>
                  <a:pt x="423" y="1031"/>
                </a:lnTo>
                <a:lnTo>
                  <a:pt x="393" y="1058"/>
                </a:lnTo>
                <a:lnTo>
                  <a:pt x="374" y="1110"/>
                </a:lnTo>
                <a:lnTo>
                  <a:pt x="393" y="1137"/>
                </a:lnTo>
                <a:lnTo>
                  <a:pt x="378" y="1155"/>
                </a:lnTo>
                <a:lnTo>
                  <a:pt x="382" y="1317"/>
                </a:lnTo>
                <a:lnTo>
                  <a:pt x="416" y="1385"/>
                </a:lnTo>
                <a:lnTo>
                  <a:pt x="386" y="1445"/>
                </a:lnTo>
                <a:lnTo>
                  <a:pt x="416" y="1539"/>
                </a:lnTo>
                <a:lnTo>
                  <a:pt x="382" y="1566"/>
                </a:lnTo>
                <a:lnTo>
                  <a:pt x="374" y="1599"/>
                </a:lnTo>
                <a:lnTo>
                  <a:pt x="367" y="1663"/>
                </a:lnTo>
                <a:lnTo>
                  <a:pt x="341" y="1633"/>
                </a:lnTo>
                <a:lnTo>
                  <a:pt x="341" y="1622"/>
                </a:lnTo>
                <a:lnTo>
                  <a:pt x="307" y="1618"/>
                </a:lnTo>
                <a:lnTo>
                  <a:pt x="300" y="1588"/>
                </a:lnTo>
                <a:lnTo>
                  <a:pt x="288" y="1592"/>
                </a:lnTo>
                <a:lnTo>
                  <a:pt x="277" y="1615"/>
                </a:lnTo>
                <a:lnTo>
                  <a:pt x="255" y="1615"/>
                </a:lnTo>
                <a:lnTo>
                  <a:pt x="243" y="1660"/>
                </a:lnTo>
                <a:lnTo>
                  <a:pt x="202" y="1731"/>
                </a:lnTo>
                <a:lnTo>
                  <a:pt x="187" y="1727"/>
                </a:lnTo>
                <a:lnTo>
                  <a:pt x="169" y="1739"/>
                </a:lnTo>
                <a:lnTo>
                  <a:pt x="142" y="1750"/>
                </a:lnTo>
                <a:lnTo>
                  <a:pt x="101" y="1735"/>
                </a:lnTo>
                <a:lnTo>
                  <a:pt x="112" y="1716"/>
                </a:lnTo>
                <a:lnTo>
                  <a:pt x="67" y="1709"/>
                </a:lnTo>
                <a:lnTo>
                  <a:pt x="64" y="1690"/>
                </a:lnTo>
                <a:lnTo>
                  <a:pt x="37" y="1645"/>
                </a:lnTo>
                <a:lnTo>
                  <a:pt x="15" y="1615"/>
                </a:lnTo>
                <a:lnTo>
                  <a:pt x="19" y="1528"/>
                </a:lnTo>
                <a:lnTo>
                  <a:pt x="0" y="1502"/>
                </a:lnTo>
                <a:lnTo>
                  <a:pt x="22" y="1419"/>
                </a:lnTo>
                <a:lnTo>
                  <a:pt x="52" y="1415"/>
                </a:lnTo>
                <a:lnTo>
                  <a:pt x="34" y="1404"/>
                </a:lnTo>
                <a:lnTo>
                  <a:pt x="22" y="1374"/>
                </a:lnTo>
                <a:lnTo>
                  <a:pt x="52" y="1359"/>
                </a:lnTo>
                <a:lnTo>
                  <a:pt x="19" y="1351"/>
                </a:lnTo>
                <a:lnTo>
                  <a:pt x="11" y="1313"/>
                </a:lnTo>
                <a:lnTo>
                  <a:pt x="22" y="1272"/>
                </a:lnTo>
                <a:lnTo>
                  <a:pt x="67" y="1231"/>
                </a:lnTo>
                <a:lnTo>
                  <a:pt x="146" y="1170"/>
                </a:lnTo>
                <a:lnTo>
                  <a:pt x="195" y="1185"/>
                </a:lnTo>
                <a:lnTo>
                  <a:pt x="187" y="1122"/>
                </a:lnTo>
                <a:lnTo>
                  <a:pt x="228" y="1076"/>
                </a:lnTo>
                <a:lnTo>
                  <a:pt x="266" y="1122"/>
                </a:lnTo>
                <a:lnTo>
                  <a:pt x="288" y="1137"/>
                </a:lnTo>
                <a:lnTo>
                  <a:pt x="311" y="1114"/>
                </a:lnTo>
                <a:lnTo>
                  <a:pt x="277" y="1076"/>
                </a:lnTo>
                <a:lnTo>
                  <a:pt x="288" y="1042"/>
                </a:lnTo>
                <a:lnTo>
                  <a:pt x="307" y="997"/>
                </a:lnTo>
                <a:lnTo>
                  <a:pt x="359" y="1005"/>
                </a:lnTo>
                <a:lnTo>
                  <a:pt x="363" y="975"/>
                </a:lnTo>
                <a:lnTo>
                  <a:pt x="337" y="967"/>
                </a:lnTo>
                <a:lnTo>
                  <a:pt x="367" y="907"/>
                </a:lnTo>
                <a:lnTo>
                  <a:pt x="393" y="922"/>
                </a:lnTo>
                <a:lnTo>
                  <a:pt x="382" y="884"/>
                </a:lnTo>
                <a:lnTo>
                  <a:pt x="401" y="820"/>
                </a:lnTo>
                <a:lnTo>
                  <a:pt x="449" y="779"/>
                </a:lnTo>
                <a:lnTo>
                  <a:pt x="427" y="745"/>
                </a:lnTo>
                <a:lnTo>
                  <a:pt x="461" y="738"/>
                </a:lnTo>
                <a:lnTo>
                  <a:pt x="438" y="700"/>
                </a:lnTo>
                <a:lnTo>
                  <a:pt x="476" y="647"/>
                </a:lnTo>
                <a:lnTo>
                  <a:pt x="509" y="640"/>
                </a:lnTo>
                <a:lnTo>
                  <a:pt x="517" y="628"/>
                </a:lnTo>
                <a:lnTo>
                  <a:pt x="535" y="613"/>
                </a:lnTo>
                <a:lnTo>
                  <a:pt x="569" y="625"/>
                </a:lnTo>
                <a:lnTo>
                  <a:pt x="577" y="610"/>
                </a:lnTo>
                <a:lnTo>
                  <a:pt x="562" y="591"/>
                </a:lnTo>
                <a:lnTo>
                  <a:pt x="498" y="602"/>
                </a:lnTo>
                <a:lnTo>
                  <a:pt x="532" y="568"/>
                </a:lnTo>
                <a:lnTo>
                  <a:pt x="569" y="576"/>
                </a:lnTo>
                <a:lnTo>
                  <a:pt x="565" y="553"/>
                </a:lnTo>
                <a:lnTo>
                  <a:pt x="532" y="553"/>
                </a:lnTo>
                <a:lnTo>
                  <a:pt x="528" y="512"/>
                </a:lnTo>
                <a:lnTo>
                  <a:pt x="584" y="459"/>
                </a:lnTo>
                <a:lnTo>
                  <a:pt x="603" y="485"/>
                </a:lnTo>
                <a:lnTo>
                  <a:pt x="610" y="444"/>
                </a:lnTo>
                <a:lnTo>
                  <a:pt x="622" y="406"/>
                </a:lnTo>
                <a:lnTo>
                  <a:pt x="674" y="369"/>
                </a:lnTo>
                <a:lnTo>
                  <a:pt x="682" y="316"/>
                </a:lnTo>
                <a:lnTo>
                  <a:pt x="652" y="339"/>
                </a:lnTo>
                <a:lnTo>
                  <a:pt x="633" y="327"/>
                </a:lnTo>
                <a:lnTo>
                  <a:pt x="637" y="282"/>
                </a:lnTo>
                <a:lnTo>
                  <a:pt x="678" y="260"/>
                </a:lnTo>
                <a:lnTo>
                  <a:pt x="730" y="294"/>
                </a:lnTo>
                <a:lnTo>
                  <a:pt x="753" y="248"/>
                </a:lnTo>
                <a:lnTo>
                  <a:pt x="809" y="215"/>
                </a:lnTo>
                <a:lnTo>
                  <a:pt x="809" y="282"/>
                </a:lnTo>
                <a:lnTo>
                  <a:pt x="846" y="199"/>
                </a:lnTo>
                <a:lnTo>
                  <a:pt x="861" y="218"/>
                </a:lnTo>
                <a:lnTo>
                  <a:pt x="899" y="207"/>
                </a:lnTo>
                <a:lnTo>
                  <a:pt x="869" y="177"/>
                </a:lnTo>
                <a:lnTo>
                  <a:pt x="887" y="158"/>
                </a:lnTo>
                <a:lnTo>
                  <a:pt x="955" y="166"/>
                </a:lnTo>
                <a:lnTo>
                  <a:pt x="947" y="199"/>
                </a:lnTo>
                <a:lnTo>
                  <a:pt x="977" y="207"/>
                </a:lnTo>
                <a:lnTo>
                  <a:pt x="981" y="162"/>
                </a:lnTo>
                <a:lnTo>
                  <a:pt x="1011" y="109"/>
                </a:lnTo>
                <a:lnTo>
                  <a:pt x="1045" y="90"/>
                </a:lnTo>
                <a:lnTo>
                  <a:pt x="1026" y="68"/>
                </a:lnTo>
                <a:lnTo>
                  <a:pt x="1056" y="26"/>
                </a:lnTo>
                <a:lnTo>
                  <a:pt x="1108" y="41"/>
                </a:lnTo>
                <a:lnTo>
                  <a:pt x="1082" y="120"/>
                </a:lnTo>
                <a:lnTo>
                  <a:pt x="1063" y="196"/>
                </a:lnTo>
                <a:lnTo>
                  <a:pt x="1086" y="192"/>
                </a:lnTo>
                <a:lnTo>
                  <a:pt x="1105" y="113"/>
                </a:lnTo>
                <a:lnTo>
                  <a:pt x="1150" y="38"/>
                </a:lnTo>
                <a:lnTo>
                  <a:pt x="1161" y="113"/>
                </a:lnTo>
                <a:lnTo>
                  <a:pt x="1202" y="19"/>
                </a:lnTo>
                <a:lnTo>
                  <a:pt x="1225" y="0"/>
                </a:lnTo>
                <a:lnTo>
                  <a:pt x="1266" y="19"/>
                </a:lnTo>
                <a:lnTo>
                  <a:pt x="1269" y="23"/>
                </a:lnTo>
                <a:lnTo>
                  <a:pt x="1247" y="68"/>
                </a:lnTo>
                <a:lnTo>
                  <a:pt x="1236" y="109"/>
                </a:lnTo>
                <a:lnTo>
                  <a:pt x="1254" y="120"/>
                </a:lnTo>
                <a:lnTo>
                  <a:pt x="1273" y="53"/>
                </a:lnTo>
                <a:lnTo>
                  <a:pt x="1296" y="26"/>
                </a:lnTo>
                <a:lnTo>
                  <a:pt x="1314" y="34"/>
                </a:lnTo>
                <a:lnTo>
                  <a:pt x="1307" y="72"/>
                </a:lnTo>
                <a:lnTo>
                  <a:pt x="1326" y="64"/>
                </a:lnTo>
                <a:lnTo>
                  <a:pt x="1404" y="109"/>
                </a:lnTo>
                <a:lnTo>
                  <a:pt x="1408" y="139"/>
                </a:lnTo>
                <a:lnTo>
                  <a:pt x="1378" y="147"/>
                </a:lnTo>
                <a:lnTo>
                  <a:pt x="1356" y="188"/>
                </a:lnTo>
                <a:lnTo>
                  <a:pt x="1273" y="169"/>
                </a:lnTo>
                <a:lnTo>
                  <a:pt x="1281" y="196"/>
                </a:lnTo>
                <a:lnTo>
                  <a:pt x="1364" y="236"/>
                </a:lnTo>
                <a:lnTo>
                  <a:pt x="1367" y="282"/>
                </a:lnTo>
                <a:lnTo>
                  <a:pt x="1326" y="267"/>
                </a:lnTo>
                <a:lnTo>
                  <a:pt x="1326" y="256"/>
                </a:lnTo>
                <a:lnTo>
                  <a:pt x="1333" y="290"/>
                </a:lnTo>
                <a:lnTo>
                  <a:pt x="1292" y="346"/>
                </a:lnTo>
              </a:path>
            </a:pathLst>
          </a:custGeom>
          <a:solidFill>
            <a:srgbClr val="B3CDED"/>
          </a:solidFill>
          <a:ln w="3175">
            <a:solidFill>
              <a:srgbClr val="B3CDED"/>
            </a:solidFill>
            <a:round/>
            <a:headEnd/>
            <a:tailEnd/>
          </a:ln>
        </xdr:spPr>
      </xdr:sp>
      <xdr:sp macro="" textlink="">
        <xdr:nvSpPr>
          <xdr:cNvPr id="25708" name="S_NOR4"/>
          <xdr:cNvSpPr>
            <a:spLocks noChangeAspect="1"/>
          </xdr:cNvSpPr>
        </xdr:nvSpPr>
        <xdr:spPr bwMode="auto">
          <a:xfrm>
            <a:off x="328" y="100"/>
            <a:ext cx="12" cy="7"/>
          </a:xfrm>
          <a:custGeom>
            <a:avLst/>
            <a:gdLst>
              <a:gd name="T0" fmla="*/ 4 w 70"/>
              <a:gd name="T1" fmla="*/ 7 h 40"/>
              <a:gd name="T2" fmla="*/ 0 w 70"/>
              <a:gd name="T3" fmla="*/ 6 h 40"/>
              <a:gd name="T4" fmla="*/ 2 w 70"/>
              <a:gd name="T5" fmla="*/ 4 h 40"/>
              <a:gd name="T6" fmla="*/ 4 w 70"/>
              <a:gd name="T7" fmla="*/ 4 h 40"/>
              <a:gd name="T8" fmla="*/ 4 w 70"/>
              <a:gd name="T9" fmla="*/ 2 h 40"/>
              <a:gd name="T10" fmla="*/ 7 w 70"/>
              <a:gd name="T11" fmla="*/ 0 h 40"/>
              <a:gd name="T12" fmla="*/ 9 w 70"/>
              <a:gd name="T13" fmla="*/ 1 h 40"/>
              <a:gd name="T14" fmla="*/ 12 w 70"/>
              <a:gd name="T15" fmla="*/ 0 h 40"/>
              <a:gd name="T16" fmla="*/ 10 w 70"/>
              <a:gd name="T17" fmla="*/ 2 h 40"/>
              <a:gd name="T18" fmla="*/ 9 w 70"/>
              <a:gd name="T19" fmla="*/ 2 h 40"/>
              <a:gd name="T20" fmla="*/ 8 w 70"/>
              <a:gd name="T21" fmla="*/ 4 h 40"/>
              <a:gd name="T22" fmla="*/ 5 w 70"/>
              <a:gd name="T23" fmla="*/ 4 h 40"/>
              <a:gd name="T24" fmla="*/ 4 w 70"/>
              <a:gd name="T25" fmla="*/ 7 h 40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w 70"/>
              <a:gd name="T40" fmla="*/ 0 h 40"/>
              <a:gd name="T41" fmla="*/ 70 w 70"/>
              <a:gd name="T42" fmla="*/ 40 h 40"/>
            </a:gdLst>
            <a:ahLst/>
            <a:cxnLst>
              <a:cxn ang="T26">
                <a:pos x="T0" y="T1"/>
              </a:cxn>
              <a:cxn ang="T27">
                <a:pos x="T2" y="T3"/>
              </a:cxn>
              <a:cxn ang="T28">
                <a:pos x="T4" y="T5"/>
              </a:cxn>
              <a:cxn ang="T29">
                <a:pos x="T6" y="T7"/>
              </a:cxn>
              <a:cxn ang="T30">
                <a:pos x="T8" y="T9"/>
              </a:cxn>
              <a:cxn ang="T31">
                <a:pos x="T10" y="T11"/>
              </a:cxn>
              <a:cxn ang="T32">
                <a:pos x="T12" y="T13"/>
              </a:cxn>
              <a:cxn ang="T33">
                <a:pos x="T14" y="T15"/>
              </a:cxn>
              <a:cxn ang="T34">
                <a:pos x="T16" y="T17"/>
              </a:cxn>
              <a:cxn ang="T35">
                <a:pos x="T18" y="T19"/>
              </a:cxn>
              <a:cxn ang="T36">
                <a:pos x="T20" y="T21"/>
              </a:cxn>
              <a:cxn ang="T37">
                <a:pos x="T22" y="T23"/>
              </a:cxn>
              <a:cxn ang="T38">
                <a:pos x="T24" y="T25"/>
              </a:cxn>
            </a:cxnLst>
            <a:rect l="T39" t="T40" r="T41" b="T42"/>
            <a:pathLst>
              <a:path w="70" h="40">
                <a:moveTo>
                  <a:pt x="21" y="39"/>
                </a:moveTo>
                <a:lnTo>
                  <a:pt x="0" y="35"/>
                </a:lnTo>
                <a:lnTo>
                  <a:pt x="11" y="20"/>
                </a:lnTo>
                <a:lnTo>
                  <a:pt x="24" y="22"/>
                </a:lnTo>
                <a:lnTo>
                  <a:pt x="21" y="11"/>
                </a:lnTo>
                <a:lnTo>
                  <a:pt x="40" y="0"/>
                </a:lnTo>
                <a:lnTo>
                  <a:pt x="53" y="7"/>
                </a:lnTo>
                <a:lnTo>
                  <a:pt x="69" y="0"/>
                </a:lnTo>
                <a:lnTo>
                  <a:pt x="61" y="13"/>
                </a:lnTo>
                <a:lnTo>
                  <a:pt x="50" y="13"/>
                </a:lnTo>
                <a:lnTo>
                  <a:pt x="45" y="22"/>
                </a:lnTo>
                <a:lnTo>
                  <a:pt x="29" y="22"/>
                </a:lnTo>
                <a:lnTo>
                  <a:pt x="21" y="39"/>
                </a:lnTo>
              </a:path>
            </a:pathLst>
          </a:custGeom>
          <a:solidFill>
            <a:srgbClr val="B3CDED"/>
          </a:solidFill>
          <a:ln w="3175">
            <a:solidFill>
              <a:srgbClr val="B3CDED"/>
            </a:solidFill>
            <a:round/>
            <a:headEnd/>
            <a:tailEnd/>
          </a:ln>
        </xdr:spPr>
      </xdr:sp>
      <xdr:sp macro="" textlink="">
        <xdr:nvSpPr>
          <xdr:cNvPr id="25709" name="S_NOR3"/>
          <xdr:cNvSpPr>
            <a:spLocks noChangeAspect="1"/>
          </xdr:cNvSpPr>
        </xdr:nvSpPr>
        <xdr:spPr bwMode="auto">
          <a:xfrm>
            <a:off x="365" y="77"/>
            <a:ext cx="9" cy="11"/>
          </a:xfrm>
          <a:custGeom>
            <a:avLst/>
            <a:gdLst>
              <a:gd name="T0" fmla="*/ 0 w 59"/>
              <a:gd name="T1" fmla="*/ 7 h 67"/>
              <a:gd name="T2" fmla="*/ 4 w 59"/>
              <a:gd name="T3" fmla="*/ 3 h 67"/>
              <a:gd name="T4" fmla="*/ 6 w 59"/>
              <a:gd name="T5" fmla="*/ 3 h 67"/>
              <a:gd name="T6" fmla="*/ 7 w 59"/>
              <a:gd name="T7" fmla="*/ 0 h 67"/>
              <a:gd name="T8" fmla="*/ 8 w 59"/>
              <a:gd name="T9" fmla="*/ 1 h 67"/>
              <a:gd name="T10" fmla="*/ 7 w 59"/>
              <a:gd name="T11" fmla="*/ 7 h 67"/>
              <a:gd name="T12" fmla="*/ 9 w 59"/>
              <a:gd name="T13" fmla="*/ 6 h 67"/>
              <a:gd name="T14" fmla="*/ 7 w 59"/>
              <a:gd name="T15" fmla="*/ 11 h 67"/>
              <a:gd name="T16" fmla="*/ 5 w 59"/>
              <a:gd name="T17" fmla="*/ 10 h 67"/>
              <a:gd name="T18" fmla="*/ 7 w 59"/>
              <a:gd name="T19" fmla="*/ 7 h 67"/>
              <a:gd name="T20" fmla="*/ 2 w 59"/>
              <a:gd name="T21" fmla="*/ 8 h 67"/>
              <a:gd name="T22" fmla="*/ 0 w 59"/>
              <a:gd name="T23" fmla="*/ 7 h 67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w 59"/>
              <a:gd name="T37" fmla="*/ 0 h 67"/>
              <a:gd name="T38" fmla="*/ 59 w 59"/>
              <a:gd name="T39" fmla="*/ 67 h 67"/>
            </a:gdLst>
            <a:ahLst/>
            <a:cxnLst>
              <a:cxn ang="T24">
                <a:pos x="T0" y="T1"/>
              </a:cxn>
              <a:cxn ang="T25">
                <a:pos x="T2" y="T3"/>
              </a:cxn>
              <a:cxn ang="T26">
                <a:pos x="T4" y="T5"/>
              </a:cxn>
              <a:cxn ang="T27">
                <a:pos x="T6" y="T7"/>
              </a:cxn>
              <a:cxn ang="T28">
                <a:pos x="T8" y="T9"/>
              </a:cxn>
              <a:cxn ang="T29">
                <a:pos x="T10" y="T11"/>
              </a:cxn>
              <a:cxn ang="T30">
                <a:pos x="T12" y="T13"/>
              </a:cxn>
              <a:cxn ang="T31">
                <a:pos x="T14" y="T15"/>
              </a:cxn>
              <a:cxn ang="T32">
                <a:pos x="T16" y="T17"/>
              </a:cxn>
              <a:cxn ang="T33">
                <a:pos x="T18" y="T19"/>
              </a:cxn>
              <a:cxn ang="T34">
                <a:pos x="T20" y="T21"/>
              </a:cxn>
              <a:cxn ang="T35">
                <a:pos x="T22" y="T23"/>
              </a:cxn>
            </a:cxnLst>
            <a:rect l="T36" t="T37" r="T38" b="T39"/>
            <a:pathLst>
              <a:path w="59" h="67">
                <a:moveTo>
                  <a:pt x="0" y="40"/>
                </a:moveTo>
                <a:lnTo>
                  <a:pt x="28" y="16"/>
                </a:lnTo>
                <a:lnTo>
                  <a:pt x="40" y="18"/>
                </a:lnTo>
                <a:lnTo>
                  <a:pt x="45" y="0"/>
                </a:lnTo>
                <a:lnTo>
                  <a:pt x="55" y="5"/>
                </a:lnTo>
                <a:lnTo>
                  <a:pt x="43" y="40"/>
                </a:lnTo>
                <a:lnTo>
                  <a:pt x="58" y="34"/>
                </a:lnTo>
                <a:lnTo>
                  <a:pt x="48" y="66"/>
                </a:lnTo>
                <a:lnTo>
                  <a:pt x="35" y="58"/>
                </a:lnTo>
                <a:lnTo>
                  <a:pt x="43" y="42"/>
                </a:lnTo>
                <a:lnTo>
                  <a:pt x="13" y="50"/>
                </a:lnTo>
                <a:lnTo>
                  <a:pt x="0" y="40"/>
                </a:lnTo>
              </a:path>
            </a:pathLst>
          </a:custGeom>
          <a:solidFill>
            <a:srgbClr val="B3CDED"/>
          </a:solidFill>
          <a:ln w="3175">
            <a:solidFill>
              <a:srgbClr val="B3CDED"/>
            </a:solidFill>
            <a:round/>
            <a:headEnd/>
            <a:tailEnd/>
          </a:ln>
        </xdr:spPr>
      </xdr:sp>
      <xdr:sp macro="" textlink="">
        <xdr:nvSpPr>
          <xdr:cNvPr id="25710" name="S_NOR2"/>
          <xdr:cNvSpPr>
            <a:spLocks noChangeAspect="1"/>
          </xdr:cNvSpPr>
        </xdr:nvSpPr>
        <xdr:spPr bwMode="auto">
          <a:xfrm>
            <a:off x="280" y="140"/>
            <a:ext cx="15" cy="11"/>
          </a:xfrm>
          <a:custGeom>
            <a:avLst/>
            <a:gdLst>
              <a:gd name="T0" fmla="*/ 0 w 86"/>
              <a:gd name="T1" fmla="*/ 11 h 66"/>
              <a:gd name="T2" fmla="*/ 1 w 86"/>
              <a:gd name="T3" fmla="*/ 6 h 66"/>
              <a:gd name="T4" fmla="*/ 7 w 86"/>
              <a:gd name="T5" fmla="*/ 3 h 66"/>
              <a:gd name="T6" fmla="*/ 9 w 86"/>
              <a:gd name="T7" fmla="*/ 4 h 66"/>
              <a:gd name="T8" fmla="*/ 11 w 86"/>
              <a:gd name="T9" fmla="*/ 0 h 66"/>
              <a:gd name="T10" fmla="*/ 15 w 86"/>
              <a:gd name="T11" fmla="*/ 0 h 66"/>
              <a:gd name="T12" fmla="*/ 14 w 86"/>
              <a:gd name="T13" fmla="*/ 3 h 66"/>
              <a:gd name="T14" fmla="*/ 11 w 86"/>
              <a:gd name="T15" fmla="*/ 4 h 66"/>
              <a:gd name="T16" fmla="*/ 8 w 86"/>
              <a:gd name="T17" fmla="*/ 5 h 66"/>
              <a:gd name="T18" fmla="*/ 5 w 86"/>
              <a:gd name="T19" fmla="*/ 7 h 66"/>
              <a:gd name="T20" fmla="*/ 0 w 86"/>
              <a:gd name="T21" fmla="*/ 11 h 6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86"/>
              <a:gd name="T34" fmla="*/ 0 h 66"/>
              <a:gd name="T35" fmla="*/ 86 w 86"/>
              <a:gd name="T36" fmla="*/ 66 h 66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86" h="66">
                <a:moveTo>
                  <a:pt x="0" y="65"/>
                </a:moveTo>
                <a:lnTo>
                  <a:pt x="6" y="36"/>
                </a:lnTo>
                <a:lnTo>
                  <a:pt x="40" y="16"/>
                </a:lnTo>
                <a:lnTo>
                  <a:pt x="51" y="23"/>
                </a:lnTo>
                <a:lnTo>
                  <a:pt x="65" y="3"/>
                </a:lnTo>
                <a:lnTo>
                  <a:pt x="85" y="0"/>
                </a:lnTo>
                <a:lnTo>
                  <a:pt x="82" y="16"/>
                </a:lnTo>
                <a:lnTo>
                  <a:pt x="62" y="26"/>
                </a:lnTo>
                <a:lnTo>
                  <a:pt x="43" y="29"/>
                </a:lnTo>
                <a:lnTo>
                  <a:pt x="28" y="42"/>
                </a:lnTo>
                <a:lnTo>
                  <a:pt x="0" y="65"/>
                </a:lnTo>
              </a:path>
            </a:pathLst>
          </a:custGeom>
          <a:solidFill>
            <a:srgbClr val="B3CDED"/>
          </a:solidFill>
          <a:ln w="3175">
            <a:solidFill>
              <a:srgbClr val="B3CDED"/>
            </a:solidFill>
            <a:round/>
            <a:headEnd/>
            <a:tailEnd/>
          </a:ln>
        </xdr:spPr>
      </xdr:sp>
      <xdr:sp macro="" textlink="">
        <xdr:nvSpPr>
          <xdr:cNvPr id="25711" name="S_NOR1"/>
          <xdr:cNvSpPr>
            <a:spLocks noChangeAspect="1"/>
          </xdr:cNvSpPr>
        </xdr:nvSpPr>
        <xdr:spPr bwMode="auto">
          <a:xfrm>
            <a:off x="294" y="118"/>
            <a:ext cx="16" cy="19"/>
          </a:xfrm>
          <a:custGeom>
            <a:avLst/>
            <a:gdLst>
              <a:gd name="T0" fmla="*/ 10 w 97"/>
              <a:gd name="T1" fmla="*/ 19 h 120"/>
              <a:gd name="T2" fmla="*/ 7 w 97"/>
              <a:gd name="T3" fmla="*/ 17 h 120"/>
              <a:gd name="T4" fmla="*/ 8 w 97"/>
              <a:gd name="T5" fmla="*/ 13 h 120"/>
              <a:gd name="T6" fmla="*/ 4 w 97"/>
              <a:gd name="T7" fmla="*/ 15 h 120"/>
              <a:gd name="T8" fmla="*/ 0 w 97"/>
              <a:gd name="T9" fmla="*/ 13 h 120"/>
              <a:gd name="T10" fmla="*/ 1 w 97"/>
              <a:gd name="T11" fmla="*/ 11 h 120"/>
              <a:gd name="T12" fmla="*/ 3 w 97"/>
              <a:gd name="T13" fmla="*/ 10 h 120"/>
              <a:gd name="T14" fmla="*/ 4 w 97"/>
              <a:gd name="T15" fmla="*/ 6 h 120"/>
              <a:gd name="T16" fmla="*/ 7 w 97"/>
              <a:gd name="T17" fmla="*/ 11 h 120"/>
              <a:gd name="T18" fmla="*/ 9 w 97"/>
              <a:gd name="T19" fmla="*/ 5 h 120"/>
              <a:gd name="T20" fmla="*/ 12 w 97"/>
              <a:gd name="T21" fmla="*/ 0 h 120"/>
              <a:gd name="T22" fmla="*/ 13 w 97"/>
              <a:gd name="T23" fmla="*/ 5 h 120"/>
              <a:gd name="T24" fmla="*/ 11 w 97"/>
              <a:gd name="T25" fmla="*/ 7 h 120"/>
              <a:gd name="T26" fmla="*/ 11 w 97"/>
              <a:gd name="T27" fmla="*/ 13 h 120"/>
              <a:gd name="T28" fmla="*/ 13 w 97"/>
              <a:gd name="T29" fmla="*/ 7 h 120"/>
              <a:gd name="T30" fmla="*/ 15 w 97"/>
              <a:gd name="T31" fmla="*/ 8 h 120"/>
              <a:gd name="T32" fmla="*/ 16 w 97"/>
              <a:gd name="T33" fmla="*/ 10 h 120"/>
              <a:gd name="T34" fmla="*/ 14 w 97"/>
              <a:gd name="T35" fmla="*/ 13 h 120"/>
              <a:gd name="T36" fmla="*/ 10 w 97"/>
              <a:gd name="T37" fmla="*/ 19 h 120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w 97"/>
              <a:gd name="T58" fmla="*/ 0 h 120"/>
              <a:gd name="T59" fmla="*/ 97 w 97"/>
              <a:gd name="T60" fmla="*/ 120 h 120"/>
            </a:gdLst>
            <a:ahLst/>
            <a:cxnLst>
              <a:cxn ang="T38">
                <a:pos x="T0" y="T1"/>
              </a:cxn>
              <a:cxn ang="T39">
                <a:pos x="T2" y="T3"/>
              </a:cxn>
              <a:cxn ang="T40">
                <a:pos x="T4" y="T5"/>
              </a:cxn>
              <a:cxn ang="T41">
                <a:pos x="T6" y="T7"/>
              </a:cxn>
              <a:cxn ang="T42">
                <a:pos x="T8" y="T9"/>
              </a:cxn>
              <a:cxn ang="T43">
                <a:pos x="T10" y="T11"/>
              </a:cxn>
              <a:cxn ang="T44">
                <a:pos x="T12" y="T13"/>
              </a:cxn>
              <a:cxn ang="T45">
                <a:pos x="T14" y="T15"/>
              </a:cxn>
              <a:cxn ang="T46">
                <a:pos x="T16" y="T17"/>
              </a:cxn>
              <a:cxn ang="T47">
                <a:pos x="T18" y="T19"/>
              </a:cxn>
              <a:cxn ang="T48">
                <a:pos x="T20" y="T21"/>
              </a:cxn>
              <a:cxn ang="T49">
                <a:pos x="T22" y="T23"/>
              </a:cxn>
              <a:cxn ang="T50">
                <a:pos x="T24" y="T25"/>
              </a:cxn>
              <a:cxn ang="T51">
                <a:pos x="T26" y="T27"/>
              </a:cxn>
              <a:cxn ang="T52">
                <a:pos x="T28" y="T29"/>
              </a:cxn>
              <a:cxn ang="T53">
                <a:pos x="T30" y="T31"/>
              </a:cxn>
              <a:cxn ang="T54">
                <a:pos x="T32" y="T33"/>
              </a:cxn>
              <a:cxn ang="T55">
                <a:pos x="T34" y="T35"/>
              </a:cxn>
              <a:cxn ang="T56">
                <a:pos x="T36" y="T37"/>
              </a:cxn>
            </a:cxnLst>
            <a:rect l="T57" t="T58" r="T59" b="T60"/>
            <a:pathLst>
              <a:path w="97" h="120">
                <a:moveTo>
                  <a:pt x="61" y="119"/>
                </a:moveTo>
                <a:lnTo>
                  <a:pt x="41" y="110"/>
                </a:lnTo>
                <a:lnTo>
                  <a:pt x="47" y="82"/>
                </a:lnTo>
                <a:lnTo>
                  <a:pt x="23" y="92"/>
                </a:lnTo>
                <a:lnTo>
                  <a:pt x="0" y="85"/>
                </a:lnTo>
                <a:lnTo>
                  <a:pt x="6" y="67"/>
                </a:lnTo>
                <a:lnTo>
                  <a:pt x="17" y="64"/>
                </a:lnTo>
                <a:lnTo>
                  <a:pt x="26" y="37"/>
                </a:lnTo>
                <a:lnTo>
                  <a:pt x="41" y="70"/>
                </a:lnTo>
                <a:lnTo>
                  <a:pt x="55" y="34"/>
                </a:lnTo>
                <a:lnTo>
                  <a:pt x="73" y="0"/>
                </a:lnTo>
                <a:lnTo>
                  <a:pt x="76" y="31"/>
                </a:lnTo>
                <a:lnTo>
                  <a:pt x="67" y="46"/>
                </a:lnTo>
                <a:lnTo>
                  <a:pt x="64" y="79"/>
                </a:lnTo>
                <a:lnTo>
                  <a:pt x="79" y="46"/>
                </a:lnTo>
                <a:lnTo>
                  <a:pt x="90" y="52"/>
                </a:lnTo>
                <a:lnTo>
                  <a:pt x="96" y="64"/>
                </a:lnTo>
                <a:lnTo>
                  <a:pt x="87" y="85"/>
                </a:lnTo>
                <a:lnTo>
                  <a:pt x="61" y="119"/>
                </a:lnTo>
              </a:path>
            </a:pathLst>
          </a:custGeom>
          <a:solidFill>
            <a:srgbClr val="B3CDED"/>
          </a:solidFill>
          <a:ln w="3175">
            <a:solidFill>
              <a:srgbClr val="B3CDED"/>
            </a:solidFill>
            <a:round/>
            <a:headEnd/>
            <a:tailEnd/>
          </a:ln>
        </xdr:spPr>
      </xdr:sp>
    </xdr:grpSp>
    <xdr:clientData/>
  </xdr:twoCellAnchor>
  <xdr:twoCellAnchor>
    <xdr:from>
      <xdr:col>4</xdr:col>
      <xdr:colOff>228600</xdr:colOff>
      <xdr:row>28</xdr:row>
      <xdr:rowOff>0</xdr:rowOff>
    </xdr:from>
    <xdr:to>
      <xdr:col>5</xdr:col>
      <xdr:colOff>171450</xdr:colOff>
      <xdr:row>30</xdr:row>
      <xdr:rowOff>38100</xdr:rowOff>
    </xdr:to>
    <xdr:sp macro="" textlink="">
      <xdr:nvSpPr>
        <xdr:cNvPr id="25656" name="S_AUT"/>
        <xdr:cNvSpPr>
          <a:spLocks noChangeAspect="1"/>
        </xdr:cNvSpPr>
      </xdr:nvSpPr>
      <xdr:spPr bwMode="auto">
        <a:xfrm>
          <a:off x="2486025" y="4543425"/>
          <a:ext cx="657225" cy="361950"/>
        </a:xfrm>
        <a:custGeom>
          <a:avLst/>
          <a:gdLst>
            <a:gd name="T0" fmla="*/ 11221 w 410"/>
            <a:gd name="T1" fmla="*/ 195138 h 230"/>
            <a:gd name="T2" fmla="*/ 142666 w 410"/>
            <a:gd name="T3" fmla="*/ 214023 h 230"/>
            <a:gd name="T4" fmla="*/ 250066 w 410"/>
            <a:gd name="T5" fmla="*/ 177828 h 230"/>
            <a:gd name="T6" fmla="*/ 285332 w 410"/>
            <a:gd name="T7" fmla="*/ 214023 h 230"/>
            <a:gd name="T8" fmla="*/ 291744 w 410"/>
            <a:gd name="T9" fmla="*/ 177828 h 230"/>
            <a:gd name="T10" fmla="*/ 262890 w 410"/>
            <a:gd name="T11" fmla="*/ 146354 h 230"/>
            <a:gd name="T12" fmla="*/ 267699 w 410"/>
            <a:gd name="T13" fmla="*/ 91274 h 230"/>
            <a:gd name="T14" fmla="*/ 322201 w 410"/>
            <a:gd name="T15" fmla="*/ 78685 h 230"/>
            <a:gd name="T16" fmla="*/ 370290 w 410"/>
            <a:gd name="T17" fmla="*/ 55079 h 230"/>
            <a:gd name="T18" fmla="*/ 416777 w 410"/>
            <a:gd name="T19" fmla="*/ 42490 h 230"/>
            <a:gd name="T20" fmla="*/ 458455 w 410"/>
            <a:gd name="T21" fmla="*/ 0 h 230"/>
            <a:gd name="T22" fmla="*/ 607532 w 410"/>
            <a:gd name="T23" fmla="*/ 25179 h 230"/>
            <a:gd name="T24" fmla="*/ 607532 w 410"/>
            <a:gd name="T25" fmla="*/ 67669 h 230"/>
            <a:gd name="T26" fmla="*/ 620356 w 410"/>
            <a:gd name="T27" fmla="*/ 84980 h 230"/>
            <a:gd name="T28" fmla="*/ 644401 w 410"/>
            <a:gd name="T29" fmla="*/ 84980 h 230"/>
            <a:gd name="T30" fmla="*/ 655622 w 410"/>
            <a:gd name="T31" fmla="*/ 97569 h 230"/>
            <a:gd name="T32" fmla="*/ 655622 w 410"/>
            <a:gd name="T33" fmla="*/ 140059 h 230"/>
            <a:gd name="T34" fmla="*/ 625165 w 410"/>
            <a:gd name="T35" fmla="*/ 195138 h 230"/>
            <a:gd name="T36" fmla="*/ 578679 w 410"/>
            <a:gd name="T37" fmla="*/ 177828 h 230"/>
            <a:gd name="T38" fmla="*/ 583488 w 410"/>
            <a:gd name="T39" fmla="*/ 220317 h 230"/>
            <a:gd name="T40" fmla="*/ 565855 w 410"/>
            <a:gd name="T41" fmla="*/ 243923 h 230"/>
            <a:gd name="T42" fmla="*/ 565855 w 410"/>
            <a:gd name="T43" fmla="*/ 281692 h 230"/>
            <a:gd name="T44" fmla="*/ 548222 w 410"/>
            <a:gd name="T45" fmla="*/ 292707 h 230"/>
            <a:gd name="T46" fmla="*/ 464867 w 410"/>
            <a:gd name="T47" fmla="*/ 330476 h 230"/>
            <a:gd name="T48" fmla="*/ 416777 w 410"/>
            <a:gd name="T49" fmla="*/ 360376 h 230"/>
            <a:gd name="T50" fmla="*/ 333421 w 410"/>
            <a:gd name="T51" fmla="*/ 335197 h 230"/>
            <a:gd name="T52" fmla="*/ 243654 w 410"/>
            <a:gd name="T53" fmla="*/ 317887 h 230"/>
            <a:gd name="T54" fmla="*/ 232433 w 410"/>
            <a:gd name="T55" fmla="*/ 275397 h 230"/>
            <a:gd name="T56" fmla="*/ 142666 w 410"/>
            <a:gd name="T57" fmla="*/ 269102 h 230"/>
            <a:gd name="T58" fmla="*/ 118621 w 410"/>
            <a:gd name="T59" fmla="*/ 292707 h 230"/>
            <a:gd name="T60" fmla="*/ 72134 w 410"/>
            <a:gd name="T61" fmla="*/ 292707 h 230"/>
            <a:gd name="T62" fmla="*/ 48090 w 410"/>
            <a:gd name="T63" fmla="*/ 286413 h 230"/>
            <a:gd name="T64" fmla="*/ 24045 w 410"/>
            <a:gd name="T65" fmla="*/ 299002 h 230"/>
            <a:gd name="T66" fmla="*/ 0 w 410"/>
            <a:gd name="T67" fmla="*/ 269102 h 230"/>
            <a:gd name="T68" fmla="*/ 11221 w 410"/>
            <a:gd name="T69" fmla="*/ 195138 h 230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w 410"/>
            <a:gd name="T106" fmla="*/ 0 h 230"/>
            <a:gd name="T107" fmla="*/ 410 w 410"/>
            <a:gd name="T108" fmla="*/ 230 h 230"/>
          </a:gdLst>
          <a:ahLst/>
          <a:cxnLst>
            <a:cxn ang="T70">
              <a:pos x="T0" y="T1"/>
            </a:cxn>
            <a:cxn ang="T71">
              <a:pos x="T2" y="T3"/>
            </a:cxn>
            <a:cxn ang="T72">
              <a:pos x="T4" y="T5"/>
            </a:cxn>
            <a:cxn ang="T73">
              <a:pos x="T6" y="T7"/>
            </a:cxn>
            <a:cxn ang="T74">
              <a:pos x="T8" y="T9"/>
            </a:cxn>
            <a:cxn ang="T75">
              <a:pos x="T10" y="T11"/>
            </a:cxn>
            <a:cxn ang="T76">
              <a:pos x="T12" y="T13"/>
            </a:cxn>
            <a:cxn ang="T77">
              <a:pos x="T14" y="T15"/>
            </a:cxn>
            <a:cxn ang="T78">
              <a:pos x="T16" y="T17"/>
            </a:cxn>
            <a:cxn ang="T79">
              <a:pos x="T18" y="T19"/>
            </a:cxn>
            <a:cxn ang="T80">
              <a:pos x="T20" y="T21"/>
            </a:cxn>
            <a:cxn ang="T81">
              <a:pos x="T22" y="T23"/>
            </a:cxn>
            <a:cxn ang="T82">
              <a:pos x="T24" y="T25"/>
            </a:cxn>
            <a:cxn ang="T83">
              <a:pos x="T26" y="T27"/>
            </a:cxn>
            <a:cxn ang="T84">
              <a:pos x="T28" y="T29"/>
            </a:cxn>
            <a:cxn ang="T85">
              <a:pos x="T30" y="T31"/>
            </a:cxn>
            <a:cxn ang="T86">
              <a:pos x="T32" y="T33"/>
            </a:cxn>
            <a:cxn ang="T87">
              <a:pos x="T34" y="T35"/>
            </a:cxn>
            <a:cxn ang="T88">
              <a:pos x="T36" y="T37"/>
            </a:cxn>
            <a:cxn ang="T89">
              <a:pos x="T38" y="T39"/>
            </a:cxn>
            <a:cxn ang="T90">
              <a:pos x="T40" y="T41"/>
            </a:cxn>
            <a:cxn ang="T91">
              <a:pos x="T42" y="T43"/>
            </a:cxn>
            <a:cxn ang="T92">
              <a:pos x="T44" y="T45"/>
            </a:cxn>
            <a:cxn ang="T93">
              <a:pos x="T46" y="T47"/>
            </a:cxn>
            <a:cxn ang="T94">
              <a:pos x="T48" y="T49"/>
            </a:cxn>
            <a:cxn ang="T95">
              <a:pos x="T50" y="T51"/>
            </a:cxn>
            <a:cxn ang="T96">
              <a:pos x="T52" y="T53"/>
            </a:cxn>
            <a:cxn ang="T97">
              <a:pos x="T54" y="T55"/>
            </a:cxn>
            <a:cxn ang="T98">
              <a:pos x="T56" y="T57"/>
            </a:cxn>
            <a:cxn ang="T99">
              <a:pos x="T58" y="T59"/>
            </a:cxn>
            <a:cxn ang="T100">
              <a:pos x="T60" y="T61"/>
            </a:cxn>
            <a:cxn ang="T101">
              <a:pos x="T62" y="T63"/>
            </a:cxn>
            <a:cxn ang="T102">
              <a:pos x="T64" y="T65"/>
            </a:cxn>
            <a:cxn ang="T103">
              <a:pos x="T66" y="T67"/>
            </a:cxn>
            <a:cxn ang="T104">
              <a:pos x="T68" y="T69"/>
            </a:cxn>
          </a:cxnLst>
          <a:rect l="T105" t="T106" r="T107" b="T108"/>
          <a:pathLst>
            <a:path w="410" h="230">
              <a:moveTo>
                <a:pt x="7" y="124"/>
              </a:moveTo>
              <a:lnTo>
                <a:pt x="89" y="136"/>
              </a:lnTo>
              <a:lnTo>
                <a:pt x="156" y="113"/>
              </a:lnTo>
              <a:lnTo>
                <a:pt x="178" y="136"/>
              </a:lnTo>
              <a:lnTo>
                <a:pt x="182" y="113"/>
              </a:lnTo>
              <a:lnTo>
                <a:pt x="164" y="93"/>
              </a:lnTo>
              <a:lnTo>
                <a:pt x="167" y="58"/>
              </a:lnTo>
              <a:lnTo>
                <a:pt x="201" y="50"/>
              </a:lnTo>
              <a:lnTo>
                <a:pt x="231" y="35"/>
              </a:lnTo>
              <a:lnTo>
                <a:pt x="260" y="27"/>
              </a:lnTo>
              <a:lnTo>
                <a:pt x="286" y="0"/>
              </a:lnTo>
              <a:lnTo>
                <a:pt x="379" y="16"/>
              </a:lnTo>
              <a:lnTo>
                <a:pt x="379" y="43"/>
              </a:lnTo>
              <a:lnTo>
                <a:pt x="387" y="54"/>
              </a:lnTo>
              <a:lnTo>
                <a:pt x="402" y="54"/>
              </a:lnTo>
              <a:lnTo>
                <a:pt x="409" y="62"/>
              </a:lnTo>
              <a:lnTo>
                <a:pt x="409" y="89"/>
              </a:lnTo>
              <a:lnTo>
                <a:pt x="390" y="124"/>
              </a:lnTo>
              <a:lnTo>
                <a:pt x="361" y="113"/>
              </a:lnTo>
              <a:lnTo>
                <a:pt x="364" y="140"/>
              </a:lnTo>
              <a:lnTo>
                <a:pt x="353" y="155"/>
              </a:lnTo>
              <a:lnTo>
                <a:pt x="353" y="179"/>
              </a:lnTo>
              <a:lnTo>
                <a:pt x="342" y="186"/>
              </a:lnTo>
              <a:lnTo>
                <a:pt x="290" y="210"/>
              </a:lnTo>
              <a:lnTo>
                <a:pt x="260" y="229"/>
              </a:lnTo>
              <a:lnTo>
                <a:pt x="208" y="213"/>
              </a:lnTo>
              <a:lnTo>
                <a:pt x="152" y="202"/>
              </a:lnTo>
              <a:lnTo>
                <a:pt x="145" y="175"/>
              </a:lnTo>
              <a:lnTo>
                <a:pt x="89" y="171"/>
              </a:lnTo>
              <a:lnTo>
                <a:pt x="74" y="186"/>
              </a:lnTo>
              <a:lnTo>
                <a:pt x="45" y="186"/>
              </a:lnTo>
              <a:lnTo>
                <a:pt x="30" y="182"/>
              </a:lnTo>
              <a:lnTo>
                <a:pt x="15" y="190"/>
              </a:lnTo>
              <a:lnTo>
                <a:pt x="0" y="171"/>
              </a:lnTo>
              <a:lnTo>
                <a:pt x="7" y="124"/>
              </a:lnTo>
            </a:path>
          </a:pathLst>
        </a:custGeom>
        <a:solidFill>
          <a:srgbClr val="87AEDC"/>
        </a:solidFill>
        <a:ln w="3175">
          <a:solidFill>
            <a:srgbClr val="87AEDC"/>
          </a:solidFill>
          <a:round/>
          <a:headEnd/>
          <a:tailEnd/>
        </a:ln>
      </xdr:spPr>
    </xdr:sp>
    <xdr:clientData/>
  </xdr:twoCellAnchor>
  <xdr:twoCellAnchor>
    <xdr:from>
      <xdr:col>4</xdr:col>
      <xdr:colOff>542925</xdr:colOff>
      <xdr:row>23</xdr:row>
      <xdr:rowOff>9525</xdr:rowOff>
    </xdr:from>
    <xdr:to>
      <xdr:col>5</xdr:col>
      <xdr:colOff>695325</xdr:colOff>
      <xdr:row>27</xdr:row>
      <xdr:rowOff>161925</xdr:rowOff>
    </xdr:to>
    <xdr:sp macro="" textlink="">
      <xdr:nvSpPr>
        <xdr:cNvPr id="25657" name="S_POL"/>
        <xdr:cNvSpPr>
          <a:spLocks noChangeAspect="1"/>
        </xdr:cNvSpPr>
      </xdr:nvSpPr>
      <xdr:spPr bwMode="auto">
        <a:xfrm>
          <a:off x="2800350" y="3743325"/>
          <a:ext cx="866775" cy="800100"/>
        </a:xfrm>
        <a:custGeom>
          <a:avLst/>
          <a:gdLst>
            <a:gd name="T0" fmla="*/ 86517 w 541"/>
            <a:gd name="T1" fmla="*/ 561170 h 509"/>
            <a:gd name="T2" fmla="*/ 86517 w 541"/>
            <a:gd name="T3" fmla="*/ 517157 h 509"/>
            <a:gd name="T4" fmla="*/ 52872 w 541"/>
            <a:gd name="T5" fmla="*/ 476288 h 509"/>
            <a:gd name="T6" fmla="*/ 57678 w 541"/>
            <a:gd name="T7" fmla="*/ 402408 h 509"/>
            <a:gd name="T8" fmla="*/ 52872 w 541"/>
            <a:gd name="T9" fmla="*/ 345819 h 509"/>
            <a:gd name="T10" fmla="*/ 11215 w 541"/>
            <a:gd name="T11" fmla="*/ 295518 h 509"/>
            <a:gd name="T12" fmla="*/ 0 w 541"/>
            <a:gd name="T13" fmla="*/ 198060 h 509"/>
            <a:gd name="T14" fmla="*/ 6409 w 541"/>
            <a:gd name="T15" fmla="*/ 165050 h 509"/>
            <a:gd name="T16" fmla="*/ 28839 w 541"/>
            <a:gd name="T17" fmla="*/ 165050 h 509"/>
            <a:gd name="T18" fmla="*/ 51270 w 541"/>
            <a:gd name="T19" fmla="*/ 193344 h 509"/>
            <a:gd name="T20" fmla="*/ 57678 w 541"/>
            <a:gd name="T21" fmla="*/ 165050 h 509"/>
            <a:gd name="T22" fmla="*/ 86517 w 541"/>
            <a:gd name="T23" fmla="*/ 124181 h 509"/>
            <a:gd name="T24" fmla="*/ 134582 w 541"/>
            <a:gd name="T25" fmla="*/ 91171 h 509"/>
            <a:gd name="T26" fmla="*/ 209885 w 541"/>
            <a:gd name="T27" fmla="*/ 80167 h 509"/>
            <a:gd name="T28" fmla="*/ 232315 w 541"/>
            <a:gd name="T29" fmla="*/ 39298 h 509"/>
            <a:gd name="T30" fmla="*/ 307617 w 541"/>
            <a:gd name="T31" fmla="*/ 6288 h 509"/>
            <a:gd name="T32" fmla="*/ 354080 w 541"/>
            <a:gd name="T33" fmla="*/ 0 h 509"/>
            <a:gd name="T34" fmla="*/ 418167 w 541"/>
            <a:gd name="T35" fmla="*/ 11003 h 509"/>
            <a:gd name="T36" fmla="*/ 418167 w 541"/>
            <a:gd name="T37" fmla="*/ 17291 h 509"/>
            <a:gd name="T38" fmla="*/ 378112 w 541"/>
            <a:gd name="T39" fmla="*/ 28294 h 509"/>
            <a:gd name="T40" fmla="*/ 389328 w 541"/>
            <a:gd name="T41" fmla="*/ 56589 h 509"/>
            <a:gd name="T42" fmla="*/ 459823 w 541"/>
            <a:gd name="T43" fmla="*/ 39298 h 509"/>
            <a:gd name="T44" fmla="*/ 459823 w 541"/>
            <a:gd name="T45" fmla="*/ 67592 h 509"/>
            <a:gd name="T46" fmla="*/ 488662 w 541"/>
            <a:gd name="T47" fmla="*/ 50301 h 509"/>
            <a:gd name="T48" fmla="*/ 517501 w 541"/>
            <a:gd name="T49" fmla="*/ 62876 h 509"/>
            <a:gd name="T50" fmla="*/ 628051 w 541"/>
            <a:gd name="T51" fmla="*/ 84883 h 509"/>
            <a:gd name="T52" fmla="*/ 767440 w 541"/>
            <a:gd name="T53" fmla="*/ 91171 h 509"/>
            <a:gd name="T54" fmla="*/ 826721 w 541"/>
            <a:gd name="T55" fmla="*/ 141472 h 509"/>
            <a:gd name="T56" fmla="*/ 826721 w 541"/>
            <a:gd name="T57" fmla="*/ 165050 h 509"/>
            <a:gd name="T58" fmla="*/ 831527 w 541"/>
            <a:gd name="T59" fmla="*/ 232642 h 509"/>
            <a:gd name="T60" fmla="*/ 860366 w 541"/>
            <a:gd name="T61" fmla="*/ 282943 h 509"/>
            <a:gd name="T62" fmla="*/ 855560 w 541"/>
            <a:gd name="T63" fmla="*/ 334816 h 509"/>
            <a:gd name="T64" fmla="*/ 796279 w 541"/>
            <a:gd name="T65" fmla="*/ 352107 h 509"/>
            <a:gd name="T66" fmla="*/ 826721 w 541"/>
            <a:gd name="T67" fmla="*/ 408696 h 509"/>
            <a:gd name="T68" fmla="*/ 813903 w 541"/>
            <a:gd name="T69" fmla="*/ 458997 h 509"/>
            <a:gd name="T70" fmla="*/ 813903 w 541"/>
            <a:gd name="T71" fmla="*/ 487291 h 509"/>
            <a:gd name="T72" fmla="*/ 842742 w 541"/>
            <a:gd name="T73" fmla="*/ 573746 h 509"/>
            <a:gd name="T74" fmla="*/ 837936 w 541"/>
            <a:gd name="T75" fmla="*/ 606756 h 509"/>
            <a:gd name="T76" fmla="*/ 866775 w 541"/>
            <a:gd name="T77" fmla="*/ 630334 h 509"/>
            <a:gd name="T78" fmla="*/ 842742 w 541"/>
            <a:gd name="T79" fmla="*/ 658629 h 509"/>
            <a:gd name="T80" fmla="*/ 780258 w 541"/>
            <a:gd name="T81" fmla="*/ 697926 h 509"/>
            <a:gd name="T82" fmla="*/ 738601 w 541"/>
            <a:gd name="T83" fmla="*/ 760802 h 509"/>
            <a:gd name="T84" fmla="*/ 767440 w 541"/>
            <a:gd name="T85" fmla="*/ 793812 h 509"/>
            <a:gd name="T86" fmla="*/ 727386 w 541"/>
            <a:gd name="T87" fmla="*/ 800100 h 509"/>
            <a:gd name="T88" fmla="*/ 652084 w 541"/>
            <a:gd name="T89" fmla="*/ 759230 h 509"/>
            <a:gd name="T90" fmla="*/ 587997 w 541"/>
            <a:gd name="T91" fmla="*/ 778093 h 509"/>
            <a:gd name="T92" fmla="*/ 567169 w 541"/>
            <a:gd name="T93" fmla="*/ 782809 h 509"/>
            <a:gd name="T94" fmla="*/ 517501 w 541"/>
            <a:gd name="T95" fmla="*/ 789097 h 509"/>
            <a:gd name="T96" fmla="*/ 475845 w 541"/>
            <a:gd name="T97" fmla="*/ 765518 h 509"/>
            <a:gd name="T98" fmla="*/ 416565 w 541"/>
            <a:gd name="T99" fmla="*/ 765518 h 509"/>
            <a:gd name="T100" fmla="*/ 413360 w 541"/>
            <a:gd name="T101" fmla="*/ 749799 h 509"/>
            <a:gd name="T102" fmla="*/ 402145 w 541"/>
            <a:gd name="T103" fmla="*/ 680635 h 509"/>
            <a:gd name="T104" fmla="*/ 338058 w 541"/>
            <a:gd name="T105" fmla="*/ 691639 h 509"/>
            <a:gd name="T106" fmla="*/ 331650 w 541"/>
            <a:gd name="T107" fmla="*/ 630334 h 509"/>
            <a:gd name="T108" fmla="*/ 273971 w 541"/>
            <a:gd name="T109" fmla="*/ 624047 h 509"/>
            <a:gd name="T110" fmla="*/ 243530 w 541"/>
            <a:gd name="T111" fmla="*/ 663344 h 509"/>
            <a:gd name="T112" fmla="*/ 185852 w 541"/>
            <a:gd name="T113" fmla="*/ 647625 h 509"/>
            <a:gd name="T114" fmla="*/ 214691 w 541"/>
            <a:gd name="T115" fmla="*/ 613043 h 509"/>
            <a:gd name="T116" fmla="*/ 174637 w 541"/>
            <a:gd name="T117" fmla="*/ 606756 h 509"/>
            <a:gd name="T118" fmla="*/ 128174 w 541"/>
            <a:gd name="T119" fmla="*/ 556455 h 509"/>
            <a:gd name="T120" fmla="*/ 110550 w 541"/>
            <a:gd name="T121" fmla="*/ 578461 h 509"/>
            <a:gd name="T122" fmla="*/ 86517 w 541"/>
            <a:gd name="T123" fmla="*/ 561170 h 509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60000 65536"/>
            <a:gd name="T184" fmla="*/ 0 60000 65536"/>
            <a:gd name="T185" fmla="*/ 0 60000 65536"/>
            <a:gd name="T186" fmla="*/ 0 w 541"/>
            <a:gd name="T187" fmla="*/ 0 h 509"/>
            <a:gd name="T188" fmla="*/ 541 w 541"/>
            <a:gd name="T189" fmla="*/ 509 h 509"/>
          </a:gdLst>
          <a:ahLst/>
          <a:cxnLst>
            <a:cxn ang="T124">
              <a:pos x="T0" y="T1"/>
            </a:cxn>
            <a:cxn ang="T125">
              <a:pos x="T2" y="T3"/>
            </a:cxn>
            <a:cxn ang="T126">
              <a:pos x="T4" y="T5"/>
            </a:cxn>
            <a:cxn ang="T127">
              <a:pos x="T6" y="T7"/>
            </a:cxn>
            <a:cxn ang="T128">
              <a:pos x="T8" y="T9"/>
            </a:cxn>
            <a:cxn ang="T129">
              <a:pos x="T10" y="T11"/>
            </a:cxn>
            <a:cxn ang="T130">
              <a:pos x="T12" y="T13"/>
            </a:cxn>
            <a:cxn ang="T131">
              <a:pos x="T14" y="T15"/>
            </a:cxn>
            <a:cxn ang="T132">
              <a:pos x="T16" y="T17"/>
            </a:cxn>
            <a:cxn ang="T133">
              <a:pos x="T18" y="T19"/>
            </a:cxn>
            <a:cxn ang="T134">
              <a:pos x="T20" y="T21"/>
            </a:cxn>
            <a:cxn ang="T135">
              <a:pos x="T22" y="T23"/>
            </a:cxn>
            <a:cxn ang="T136">
              <a:pos x="T24" y="T25"/>
            </a:cxn>
            <a:cxn ang="T137">
              <a:pos x="T26" y="T27"/>
            </a:cxn>
            <a:cxn ang="T138">
              <a:pos x="T28" y="T29"/>
            </a:cxn>
            <a:cxn ang="T139">
              <a:pos x="T30" y="T31"/>
            </a:cxn>
            <a:cxn ang="T140">
              <a:pos x="T32" y="T33"/>
            </a:cxn>
            <a:cxn ang="T141">
              <a:pos x="T34" y="T35"/>
            </a:cxn>
            <a:cxn ang="T142">
              <a:pos x="T36" y="T37"/>
            </a:cxn>
            <a:cxn ang="T143">
              <a:pos x="T38" y="T39"/>
            </a:cxn>
            <a:cxn ang="T144">
              <a:pos x="T40" y="T41"/>
            </a:cxn>
            <a:cxn ang="T145">
              <a:pos x="T42" y="T43"/>
            </a:cxn>
            <a:cxn ang="T146">
              <a:pos x="T44" y="T45"/>
            </a:cxn>
            <a:cxn ang="T147">
              <a:pos x="T46" y="T47"/>
            </a:cxn>
            <a:cxn ang="T148">
              <a:pos x="T48" y="T49"/>
            </a:cxn>
            <a:cxn ang="T149">
              <a:pos x="T50" y="T51"/>
            </a:cxn>
            <a:cxn ang="T150">
              <a:pos x="T52" y="T53"/>
            </a:cxn>
            <a:cxn ang="T151">
              <a:pos x="T54" y="T55"/>
            </a:cxn>
            <a:cxn ang="T152">
              <a:pos x="T56" y="T57"/>
            </a:cxn>
            <a:cxn ang="T153">
              <a:pos x="T58" y="T59"/>
            </a:cxn>
            <a:cxn ang="T154">
              <a:pos x="T60" y="T61"/>
            </a:cxn>
            <a:cxn ang="T155">
              <a:pos x="T62" y="T63"/>
            </a:cxn>
            <a:cxn ang="T156">
              <a:pos x="T64" y="T65"/>
            </a:cxn>
            <a:cxn ang="T157">
              <a:pos x="T66" y="T67"/>
            </a:cxn>
            <a:cxn ang="T158">
              <a:pos x="T68" y="T69"/>
            </a:cxn>
            <a:cxn ang="T159">
              <a:pos x="T70" y="T71"/>
            </a:cxn>
            <a:cxn ang="T160">
              <a:pos x="T72" y="T73"/>
            </a:cxn>
            <a:cxn ang="T161">
              <a:pos x="T74" y="T75"/>
            </a:cxn>
            <a:cxn ang="T162">
              <a:pos x="T76" y="T77"/>
            </a:cxn>
            <a:cxn ang="T163">
              <a:pos x="T78" y="T79"/>
            </a:cxn>
            <a:cxn ang="T164">
              <a:pos x="T80" y="T81"/>
            </a:cxn>
            <a:cxn ang="T165">
              <a:pos x="T82" y="T83"/>
            </a:cxn>
            <a:cxn ang="T166">
              <a:pos x="T84" y="T85"/>
            </a:cxn>
            <a:cxn ang="T167">
              <a:pos x="T86" y="T87"/>
            </a:cxn>
            <a:cxn ang="T168">
              <a:pos x="T88" y="T89"/>
            </a:cxn>
            <a:cxn ang="T169">
              <a:pos x="T90" y="T91"/>
            </a:cxn>
            <a:cxn ang="T170">
              <a:pos x="T92" y="T93"/>
            </a:cxn>
            <a:cxn ang="T171">
              <a:pos x="T94" y="T95"/>
            </a:cxn>
            <a:cxn ang="T172">
              <a:pos x="T96" y="T97"/>
            </a:cxn>
            <a:cxn ang="T173">
              <a:pos x="T98" y="T99"/>
            </a:cxn>
            <a:cxn ang="T174">
              <a:pos x="T100" y="T101"/>
            </a:cxn>
            <a:cxn ang="T175">
              <a:pos x="T102" y="T103"/>
            </a:cxn>
            <a:cxn ang="T176">
              <a:pos x="T104" y="T105"/>
            </a:cxn>
            <a:cxn ang="T177">
              <a:pos x="T106" y="T107"/>
            </a:cxn>
            <a:cxn ang="T178">
              <a:pos x="T108" y="T109"/>
            </a:cxn>
            <a:cxn ang="T179">
              <a:pos x="T110" y="T111"/>
            </a:cxn>
            <a:cxn ang="T180">
              <a:pos x="T112" y="T113"/>
            </a:cxn>
            <a:cxn ang="T181">
              <a:pos x="T114" y="T115"/>
            </a:cxn>
            <a:cxn ang="T182">
              <a:pos x="T116" y="T117"/>
            </a:cxn>
            <a:cxn ang="T183">
              <a:pos x="T118" y="T119"/>
            </a:cxn>
            <a:cxn ang="T184">
              <a:pos x="T120" y="T121"/>
            </a:cxn>
            <a:cxn ang="T185">
              <a:pos x="T122" y="T123"/>
            </a:cxn>
          </a:cxnLst>
          <a:rect l="T186" t="T187" r="T188" b="T189"/>
          <a:pathLst>
            <a:path w="541" h="509">
              <a:moveTo>
                <a:pt x="54" y="357"/>
              </a:moveTo>
              <a:lnTo>
                <a:pt x="54" y="329"/>
              </a:lnTo>
              <a:lnTo>
                <a:pt x="33" y="303"/>
              </a:lnTo>
              <a:lnTo>
                <a:pt x="36" y="256"/>
              </a:lnTo>
              <a:lnTo>
                <a:pt x="33" y="220"/>
              </a:lnTo>
              <a:lnTo>
                <a:pt x="7" y="188"/>
              </a:lnTo>
              <a:lnTo>
                <a:pt x="0" y="126"/>
              </a:lnTo>
              <a:lnTo>
                <a:pt x="4" y="105"/>
              </a:lnTo>
              <a:lnTo>
                <a:pt x="18" y="105"/>
              </a:lnTo>
              <a:lnTo>
                <a:pt x="32" y="123"/>
              </a:lnTo>
              <a:lnTo>
                <a:pt x="36" y="105"/>
              </a:lnTo>
              <a:lnTo>
                <a:pt x="54" y="79"/>
              </a:lnTo>
              <a:lnTo>
                <a:pt x="84" y="58"/>
              </a:lnTo>
              <a:lnTo>
                <a:pt x="131" y="51"/>
              </a:lnTo>
              <a:lnTo>
                <a:pt x="145" y="25"/>
              </a:lnTo>
              <a:lnTo>
                <a:pt x="192" y="4"/>
              </a:lnTo>
              <a:lnTo>
                <a:pt x="221" y="0"/>
              </a:lnTo>
              <a:lnTo>
                <a:pt x="261" y="7"/>
              </a:lnTo>
              <a:lnTo>
                <a:pt x="261" y="11"/>
              </a:lnTo>
              <a:lnTo>
                <a:pt x="236" y="18"/>
              </a:lnTo>
              <a:lnTo>
                <a:pt x="243" y="36"/>
              </a:lnTo>
              <a:lnTo>
                <a:pt x="287" y="25"/>
              </a:lnTo>
              <a:lnTo>
                <a:pt x="287" y="43"/>
              </a:lnTo>
              <a:lnTo>
                <a:pt x="305" y="32"/>
              </a:lnTo>
              <a:lnTo>
                <a:pt x="323" y="40"/>
              </a:lnTo>
              <a:lnTo>
                <a:pt x="392" y="54"/>
              </a:lnTo>
              <a:lnTo>
                <a:pt x="479" y="58"/>
              </a:lnTo>
              <a:lnTo>
                <a:pt x="516" y="90"/>
              </a:lnTo>
              <a:lnTo>
                <a:pt x="516" y="105"/>
              </a:lnTo>
              <a:lnTo>
                <a:pt x="519" y="148"/>
              </a:lnTo>
              <a:lnTo>
                <a:pt x="537" y="180"/>
              </a:lnTo>
              <a:lnTo>
                <a:pt x="534" y="213"/>
              </a:lnTo>
              <a:lnTo>
                <a:pt x="497" y="224"/>
              </a:lnTo>
              <a:lnTo>
                <a:pt x="516" y="260"/>
              </a:lnTo>
              <a:lnTo>
                <a:pt x="508" y="292"/>
              </a:lnTo>
              <a:lnTo>
                <a:pt x="508" y="310"/>
              </a:lnTo>
              <a:lnTo>
                <a:pt x="526" y="365"/>
              </a:lnTo>
              <a:lnTo>
                <a:pt x="523" y="386"/>
              </a:lnTo>
              <a:lnTo>
                <a:pt x="541" y="401"/>
              </a:lnTo>
              <a:lnTo>
                <a:pt x="526" y="419"/>
              </a:lnTo>
              <a:lnTo>
                <a:pt x="487" y="444"/>
              </a:lnTo>
              <a:lnTo>
                <a:pt x="461" y="484"/>
              </a:lnTo>
              <a:lnTo>
                <a:pt x="479" y="505"/>
              </a:lnTo>
              <a:lnTo>
                <a:pt x="454" y="509"/>
              </a:lnTo>
              <a:lnTo>
                <a:pt x="407" y="483"/>
              </a:lnTo>
              <a:lnTo>
                <a:pt x="367" y="495"/>
              </a:lnTo>
              <a:lnTo>
                <a:pt x="354" y="498"/>
              </a:lnTo>
              <a:lnTo>
                <a:pt x="323" y="502"/>
              </a:lnTo>
              <a:lnTo>
                <a:pt x="297" y="487"/>
              </a:lnTo>
              <a:lnTo>
                <a:pt x="260" y="487"/>
              </a:lnTo>
              <a:lnTo>
                <a:pt x="258" y="477"/>
              </a:lnTo>
              <a:lnTo>
                <a:pt x="251" y="433"/>
              </a:lnTo>
              <a:lnTo>
                <a:pt x="211" y="440"/>
              </a:lnTo>
              <a:lnTo>
                <a:pt x="207" y="401"/>
              </a:lnTo>
              <a:lnTo>
                <a:pt x="171" y="397"/>
              </a:lnTo>
              <a:lnTo>
                <a:pt x="152" y="422"/>
              </a:lnTo>
              <a:lnTo>
                <a:pt x="116" y="412"/>
              </a:lnTo>
              <a:lnTo>
                <a:pt x="134" y="390"/>
              </a:lnTo>
              <a:lnTo>
                <a:pt x="109" y="386"/>
              </a:lnTo>
              <a:lnTo>
                <a:pt x="80" y="354"/>
              </a:lnTo>
              <a:lnTo>
                <a:pt x="69" y="368"/>
              </a:lnTo>
              <a:lnTo>
                <a:pt x="54" y="357"/>
              </a:lnTo>
            </a:path>
          </a:pathLst>
        </a:custGeom>
        <a:solidFill>
          <a:srgbClr val="456892"/>
        </a:solidFill>
        <a:ln w="3175">
          <a:solidFill>
            <a:srgbClr val="456892"/>
          </a:solidFill>
          <a:round/>
          <a:headEnd/>
          <a:tailEnd/>
        </a:ln>
      </xdr:spPr>
    </xdr:sp>
    <xdr:clientData/>
  </xdr:twoCellAnchor>
  <xdr:twoCellAnchor>
    <xdr:from>
      <xdr:col>5</xdr:col>
      <xdr:colOff>419100</xdr:colOff>
      <xdr:row>28</xdr:row>
      <xdr:rowOff>104775</xdr:rowOff>
    </xdr:from>
    <xdr:to>
      <xdr:col>6</xdr:col>
      <xdr:colOff>428625</xdr:colOff>
      <xdr:row>31</xdr:row>
      <xdr:rowOff>142875</xdr:rowOff>
    </xdr:to>
    <xdr:sp macro="" textlink="">
      <xdr:nvSpPr>
        <xdr:cNvPr id="25658" name="S_ROM"/>
        <xdr:cNvSpPr>
          <a:spLocks noChangeAspect="1"/>
        </xdr:cNvSpPr>
      </xdr:nvSpPr>
      <xdr:spPr bwMode="auto">
        <a:xfrm>
          <a:off x="3390900" y="4648200"/>
          <a:ext cx="723900" cy="523875"/>
        </a:xfrm>
        <a:custGeom>
          <a:avLst/>
          <a:gdLst>
            <a:gd name="T0" fmla="*/ 655638 w 456"/>
            <a:gd name="T1" fmla="*/ 508283 h 336"/>
            <a:gd name="T2" fmla="*/ 565150 w 456"/>
            <a:gd name="T3" fmla="*/ 469305 h 336"/>
            <a:gd name="T4" fmla="*/ 484188 w 456"/>
            <a:gd name="T5" fmla="*/ 486455 h 336"/>
            <a:gd name="T6" fmla="*/ 427038 w 456"/>
            <a:gd name="T7" fmla="*/ 523875 h 336"/>
            <a:gd name="T8" fmla="*/ 354013 w 456"/>
            <a:gd name="T9" fmla="*/ 523875 h 336"/>
            <a:gd name="T10" fmla="*/ 290513 w 456"/>
            <a:gd name="T11" fmla="*/ 512961 h 336"/>
            <a:gd name="T12" fmla="*/ 193675 w 456"/>
            <a:gd name="T13" fmla="*/ 480219 h 336"/>
            <a:gd name="T14" fmla="*/ 193675 w 456"/>
            <a:gd name="T15" fmla="*/ 447477 h 336"/>
            <a:gd name="T16" fmla="*/ 171450 w 456"/>
            <a:gd name="T17" fmla="*/ 447477 h 336"/>
            <a:gd name="T18" fmla="*/ 142875 w 456"/>
            <a:gd name="T19" fmla="*/ 436563 h 336"/>
            <a:gd name="T20" fmla="*/ 160338 w 456"/>
            <a:gd name="T21" fmla="*/ 403820 h 336"/>
            <a:gd name="T22" fmla="*/ 131763 w 456"/>
            <a:gd name="T23" fmla="*/ 414734 h 336"/>
            <a:gd name="T24" fmla="*/ 85725 w 456"/>
            <a:gd name="T25" fmla="*/ 388229 h 336"/>
            <a:gd name="T26" fmla="*/ 34925 w 456"/>
            <a:gd name="T27" fmla="*/ 327422 h 336"/>
            <a:gd name="T28" fmla="*/ 34925 w 456"/>
            <a:gd name="T29" fmla="*/ 290002 h 336"/>
            <a:gd name="T30" fmla="*/ 0 w 456"/>
            <a:gd name="T31" fmla="*/ 246346 h 336"/>
            <a:gd name="T32" fmla="*/ 22225 w 456"/>
            <a:gd name="T33" fmla="*/ 229195 h 336"/>
            <a:gd name="T34" fmla="*/ 68263 w 456"/>
            <a:gd name="T35" fmla="*/ 224518 h 336"/>
            <a:gd name="T36" fmla="*/ 74613 w 456"/>
            <a:gd name="T37" fmla="*/ 191776 h 336"/>
            <a:gd name="T38" fmla="*/ 136525 w 456"/>
            <a:gd name="T39" fmla="*/ 82635 h 336"/>
            <a:gd name="T40" fmla="*/ 193675 w 456"/>
            <a:gd name="T41" fmla="*/ 54570 h 336"/>
            <a:gd name="T42" fmla="*/ 204788 w 456"/>
            <a:gd name="T43" fmla="*/ 38979 h 336"/>
            <a:gd name="T44" fmla="*/ 233363 w 456"/>
            <a:gd name="T45" fmla="*/ 21828 h 336"/>
            <a:gd name="T46" fmla="*/ 393700 w 456"/>
            <a:gd name="T47" fmla="*/ 49893 h 336"/>
            <a:gd name="T48" fmla="*/ 519113 w 456"/>
            <a:gd name="T49" fmla="*/ 0 h 336"/>
            <a:gd name="T50" fmla="*/ 581025 w 456"/>
            <a:gd name="T51" fmla="*/ 98227 h 336"/>
            <a:gd name="T52" fmla="*/ 615950 w 456"/>
            <a:gd name="T53" fmla="*/ 130969 h 336"/>
            <a:gd name="T54" fmla="*/ 627063 w 456"/>
            <a:gd name="T55" fmla="*/ 207367 h 336"/>
            <a:gd name="T56" fmla="*/ 615950 w 456"/>
            <a:gd name="T57" fmla="*/ 316508 h 336"/>
            <a:gd name="T58" fmla="*/ 638175 w 456"/>
            <a:gd name="T59" fmla="*/ 338336 h 336"/>
            <a:gd name="T60" fmla="*/ 666750 w 456"/>
            <a:gd name="T61" fmla="*/ 349250 h 336"/>
            <a:gd name="T62" fmla="*/ 706438 w 456"/>
            <a:gd name="T63" fmla="*/ 327422 h 336"/>
            <a:gd name="T64" fmla="*/ 723900 w 456"/>
            <a:gd name="T65" fmla="*/ 338336 h 336"/>
            <a:gd name="T66" fmla="*/ 715963 w 456"/>
            <a:gd name="T67" fmla="*/ 371078 h 336"/>
            <a:gd name="T68" fmla="*/ 690563 w 456"/>
            <a:gd name="T69" fmla="*/ 388229 h 336"/>
            <a:gd name="T70" fmla="*/ 681038 w 456"/>
            <a:gd name="T71" fmla="*/ 399143 h 336"/>
            <a:gd name="T72" fmla="*/ 673100 w 456"/>
            <a:gd name="T73" fmla="*/ 436563 h 336"/>
            <a:gd name="T74" fmla="*/ 666750 w 456"/>
            <a:gd name="T75" fmla="*/ 458391 h 336"/>
            <a:gd name="T76" fmla="*/ 655638 w 456"/>
            <a:gd name="T77" fmla="*/ 508283 h 3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w 456"/>
            <a:gd name="T118" fmla="*/ 0 h 336"/>
            <a:gd name="T119" fmla="*/ 456 w 456"/>
            <a:gd name="T120" fmla="*/ 336 h 336"/>
          </a:gdLst>
          <a:ahLst/>
          <a:cxnLst>
            <a:cxn ang="T78">
              <a:pos x="T0" y="T1"/>
            </a:cxn>
            <a:cxn ang="T79">
              <a:pos x="T2" y="T3"/>
            </a:cxn>
            <a:cxn ang="T80">
              <a:pos x="T4" y="T5"/>
            </a:cxn>
            <a:cxn ang="T81">
              <a:pos x="T6" y="T7"/>
            </a:cxn>
            <a:cxn ang="T82">
              <a:pos x="T8" y="T9"/>
            </a:cxn>
            <a:cxn ang="T83">
              <a:pos x="T10" y="T11"/>
            </a:cxn>
            <a:cxn ang="T84">
              <a:pos x="T12" y="T13"/>
            </a:cxn>
            <a:cxn ang="T85">
              <a:pos x="T14" y="T15"/>
            </a:cxn>
            <a:cxn ang="T86">
              <a:pos x="T16" y="T17"/>
            </a:cxn>
            <a:cxn ang="T87">
              <a:pos x="T18" y="T19"/>
            </a:cxn>
            <a:cxn ang="T88">
              <a:pos x="T20" y="T21"/>
            </a:cxn>
            <a:cxn ang="T89">
              <a:pos x="T22" y="T23"/>
            </a:cxn>
            <a:cxn ang="T90">
              <a:pos x="T24" y="T25"/>
            </a:cxn>
            <a:cxn ang="T91">
              <a:pos x="T26" y="T27"/>
            </a:cxn>
            <a:cxn ang="T92">
              <a:pos x="T28" y="T29"/>
            </a:cxn>
            <a:cxn ang="T93">
              <a:pos x="T30" y="T31"/>
            </a:cxn>
            <a:cxn ang="T94">
              <a:pos x="T32" y="T33"/>
            </a:cxn>
            <a:cxn ang="T95">
              <a:pos x="T34" y="T35"/>
            </a:cxn>
            <a:cxn ang="T96">
              <a:pos x="T36" y="T37"/>
            </a:cxn>
            <a:cxn ang="T97">
              <a:pos x="T38" y="T39"/>
            </a:cxn>
            <a:cxn ang="T98">
              <a:pos x="T40" y="T41"/>
            </a:cxn>
            <a:cxn ang="T99">
              <a:pos x="T42" y="T43"/>
            </a:cxn>
            <a:cxn ang="T100">
              <a:pos x="T44" y="T45"/>
            </a:cxn>
            <a:cxn ang="T101">
              <a:pos x="T46" y="T47"/>
            </a:cxn>
            <a:cxn ang="T102">
              <a:pos x="T48" y="T49"/>
            </a:cxn>
            <a:cxn ang="T103">
              <a:pos x="T50" y="T51"/>
            </a:cxn>
            <a:cxn ang="T104">
              <a:pos x="T52" y="T53"/>
            </a:cxn>
            <a:cxn ang="T105">
              <a:pos x="T54" y="T55"/>
            </a:cxn>
            <a:cxn ang="T106">
              <a:pos x="T56" y="T57"/>
            </a:cxn>
            <a:cxn ang="T107">
              <a:pos x="T58" y="T59"/>
            </a:cxn>
            <a:cxn ang="T108">
              <a:pos x="T60" y="T61"/>
            </a:cxn>
            <a:cxn ang="T109">
              <a:pos x="T62" y="T63"/>
            </a:cxn>
            <a:cxn ang="T110">
              <a:pos x="T64" y="T65"/>
            </a:cxn>
            <a:cxn ang="T111">
              <a:pos x="T66" y="T67"/>
            </a:cxn>
            <a:cxn ang="T112">
              <a:pos x="T68" y="T69"/>
            </a:cxn>
            <a:cxn ang="T113">
              <a:pos x="T70" y="T71"/>
            </a:cxn>
            <a:cxn ang="T114">
              <a:pos x="T72" y="T73"/>
            </a:cxn>
            <a:cxn ang="T115">
              <a:pos x="T74" y="T75"/>
            </a:cxn>
            <a:cxn ang="T116">
              <a:pos x="T76" y="T77"/>
            </a:cxn>
          </a:cxnLst>
          <a:rect l="T117" t="T118" r="T119" b="T120"/>
          <a:pathLst>
            <a:path w="456" h="336">
              <a:moveTo>
                <a:pt x="413" y="326"/>
              </a:moveTo>
              <a:lnTo>
                <a:pt x="356" y="301"/>
              </a:lnTo>
              <a:lnTo>
                <a:pt x="305" y="312"/>
              </a:lnTo>
              <a:lnTo>
                <a:pt x="269" y="336"/>
              </a:lnTo>
              <a:lnTo>
                <a:pt x="223" y="336"/>
              </a:lnTo>
              <a:lnTo>
                <a:pt x="183" y="329"/>
              </a:lnTo>
              <a:lnTo>
                <a:pt x="122" y="308"/>
              </a:lnTo>
              <a:lnTo>
                <a:pt x="122" y="287"/>
              </a:lnTo>
              <a:lnTo>
                <a:pt x="108" y="287"/>
              </a:lnTo>
              <a:lnTo>
                <a:pt x="90" y="280"/>
              </a:lnTo>
              <a:lnTo>
                <a:pt x="101" y="259"/>
              </a:lnTo>
              <a:lnTo>
                <a:pt x="83" y="266"/>
              </a:lnTo>
              <a:lnTo>
                <a:pt x="54" y="249"/>
              </a:lnTo>
              <a:lnTo>
                <a:pt x="22" y="210"/>
              </a:lnTo>
              <a:lnTo>
                <a:pt x="22" y="186"/>
              </a:lnTo>
              <a:lnTo>
                <a:pt x="0" y="158"/>
              </a:lnTo>
              <a:lnTo>
                <a:pt x="14" y="147"/>
              </a:lnTo>
              <a:lnTo>
                <a:pt x="43" y="144"/>
              </a:lnTo>
              <a:lnTo>
                <a:pt x="47" y="123"/>
              </a:lnTo>
              <a:lnTo>
                <a:pt x="86" y="53"/>
              </a:lnTo>
              <a:lnTo>
                <a:pt x="122" y="35"/>
              </a:lnTo>
              <a:lnTo>
                <a:pt x="129" y="25"/>
              </a:lnTo>
              <a:lnTo>
                <a:pt x="147" y="14"/>
              </a:lnTo>
              <a:lnTo>
                <a:pt x="248" y="32"/>
              </a:lnTo>
              <a:lnTo>
                <a:pt x="327" y="0"/>
              </a:lnTo>
              <a:lnTo>
                <a:pt x="366" y="63"/>
              </a:lnTo>
              <a:lnTo>
                <a:pt x="388" y="84"/>
              </a:lnTo>
              <a:lnTo>
                <a:pt x="395" y="133"/>
              </a:lnTo>
              <a:lnTo>
                <a:pt x="388" y="203"/>
              </a:lnTo>
              <a:lnTo>
                <a:pt x="402" y="217"/>
              </a:lnTo>
              <a:lnTo>
                <a:pt x="420" y="224"/>
              </a:lnTo>
              <a:lnTo>
                <a:pt x="445" y="210"/>
              </a:lnTo>
              <a:lnTo>
                <a:pt x="456" y="217"/>
              </a:lnTo>
              <a:lnTo>
                <a:pt x="451" y="238"/>
              </a:lnTo>
              <a:lnTo>
                <a:pt x="435" y="249"/>
              </a:lnTo>
              <a:lnTo>
                <a:pt x="429" y="256"/>
              </a:lnTo>
              <a:lnTo>
                <a:pt x="424" y="280"/>
              </a:lnTo>
              <a:lnTo>
                <a:pt x="420" y="294"/>
              </a:lnTo>
              <a:lnTo>
                <a:pt x="413" y="326"/>
              </a:lnTo>
            </a:path>
          </a:pathLst>
        </a:custGeom>
        <a:solidFill>
          <a:srgbClr val="4C6F99"/>
        </a:solidFill>
        <a:ln w="3175">
          <a:solidFill>
            <a:srgbClr val="4C6F99"/>
          </a:solidFill>
          <a:round/>
          <a:headEnd/>
          <a:tailEnd/>
        </a:ln>
      </xdr:spPr>
    </xdr:sp>
    <xdr:clientData/>
  </xdr:twoCellAnchor>
  <xdr:twoCellAnchor>
    <xdr:from>
      <xdr:col>4</xdr:col>
      <xdr:colOff>266700</xdr:colOff>
      <xdr:row>6</xdr:row>
      <xdr:rowOff>47625</xdr:rowOff>
    </xdr:from>
    <xdr:to>
      <xdr:col>5</xdr:col>
      <xdr:colOff>695325</xdr:colOff>
      <xdr:row>22</xdr:row>
      <xdr:rowOff>123825</xdr:rowOff>
    </xdr:to>
    <xdr:grpSp>
      <xdr:nvGrpSpPr>
        <xdr:cNvPr id="25659" name="S_SWE"/>
        <xdr:cNvGrpSpPr>
          <a:grpSpLocks/>
        </xdr:cNvGrpSpPr>
      </xdr:nvGrpSpPr>
      <xdr:grpSpPr bwMode="auto">
        <a:xfrm>
          <a:off x="2524125" y="1457325"/>
          <a:ext cx="1143000" cy="2667000"/>
          <a:chOff x="2524125" y="1028700"/>
          <a:chExt cx="1143000" cy="2667000"/>
        </a:xfrm>
      </xdr:grpSpPr>
      <xdr:sp macro="" textlink="">
        <xdr:nvSpPr>
          <xdr:cNvPr id="25703" name="S_SWE4"/>
          <xdr:cNvSpPr>
            <a:spLocks noChangeAspect="1"/>
          </xdr:cNvSpPr>
        </xdr:nvSpPr>
        <xdr:spPr bwMode="auto">
          <a:xfrm>
            <a:off x="2828925" y="3686175"/>
            <a:ext cx="0" cy="9525"/>
          </a:xfrm>
          <a:custGeom>
            <a:avLst/>
            <a:gdLst>
              <a:gd name="T0" fmla="*/ 0 w 1"/>
              <a:gd name="T1" fmla="*/ 0 h 1"/>
              <a:gd name="T2" fmla="*/ 0 w 1"/>
              <a:gd name="T3" fmla="*/ 0 h 1"/>
              <a:gd name="T4" fmla="*/ 0 w 1"/>
              <a:gd name="T5" fmla="*/ 0 h 1"/>
              <a:gd name="T6" fmla="*/ 0 w 1"/>
              <a:gd name="T7" fmla="*/ 0 h 1"/>
              <a:gd name="T8" fmla="*/ 0 w 1"/>
              <a:gd name="T9" fmla="*/ 0 h 1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1"/>
              <a:gd name="T16" fmla="*/ 0 h 1"/>
              <a:gd name="T17" fmla="*/ 0 w 1"/>
              <a:gd name="T18" fmla="*/ 1 h 1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1" h="1">
                <a:moveTo>
                  <a:pt x="0" y="0"/>
                </a:moveTo>
                <a:lnTo>
                  <a:pt x="0" y="0"/>
                </a:lnTo>
              </a:path>
            </a:pathLst>
          </a:custGeom>
          <a:solidFill>
            <a:srgbClr val="80A7D5"/>
          </a:solidFill>
          <a:ln w="3175">
            <a:solidFill>
              <a:srgbClr val="80A7D5"/>
            </a:solidFill>
            <a:round/>
            <a:headEnd/>
            <a:tailEnd/>
          </a:ln>
        </xdr:spPr>
      </xdr:sp>
      <xdr:sp macro="" textlink="">
        <xdr:nvSpPr>
          <xdr:cNvPr id="25704" name="S_SWE3"/>
          <xdr:cNvSpPr>
            <a:spLocks noChangeAspect="1"/>
          </xdr:cNvSpPr>
        </xdr:nvSpPr>
        <xdr:spPr bwMode="auto">
          <a:xfrm>
            <a:off x="2524125" y="1028700"/>
            <a:ext cx="1143000" cy="2581275"/>
          </a:xfrm>
          <a:custGeom>
            <a:avLst/>
            <a:gdLst>
              <a:gd name="T0" fmla="*/ 908988 w 718"/>
              <a:gd name="T1" fmla="*/ 99579 h 1659"/>
              <a:gd name="T2" fmla="*/ 1082507 w 718"/>
              <a:gd name="T3" fmla="*/ 216273 h 1659"/>
              <a:gd name="T4" fmla="*/ 1143000 w 718"/>
              <a:gd name="T5" fmla="*/ 474556 h 1659"/>
              <a:gd name="T6" fmla="*/ 1112753 w 718"/>
              <a:gd name="T7" fmla="*/ 667491 h 1659"/>
              <a:gd name="T8" fmla="*/ 1064996 w 718"/>
              <a:gd name="T9" fmla="*/ 754622 h 1659"/>
              <a:gd name="T10" fmla="*/ 1004503 w 718"/>
              <a:gd name="T11" fmla="*/ 760846 h 1659"/>
              <a:gd name="T12" fmla="*/ 974256 w 718"/>
              <a:gd name="T13" fmla="*/ 813747 h 1659"/>
              <a:gd name="T14" fmla="*/ 866006 w 718"/>
              <a:gd name="T15" fmla="*/ 970896 h 1659"/>
              <a:gd name="T16" fmla="*/ 848495 w 718"/>
              <a:gd name="T17" fmla="*/ 1112484 h 1659"/>
              <a:gd name="T18" fmla="*/ 764122 w 718"/>
              <a:gd name="T19" fmla="*/ 1193392 h 1659"/>
              <a:gd name="T20" fmla="*/ 703629 w 718"/>
              <a:gd name="T21" fmla="*/ 1241626 h 1659"/>
              <a:gd name="T22" fmla="*/ 625625 w 718"/>
              <a:gd name="T23" fmla="*/ 1282080 h 1659"/>
              <a:gd name="T24" fmla="*/ 625625 w 718"/>
              <a:gd name="T25" fmla="*/ 1334981 h 1659"/>
              <a:gd name="T26" fmla="*/ 595379 w 718"/>
              <a:gd name="T27" fmla="*/ 1364544 h 1659"/>
              <a:gd name="T28" fmla="*/ 589011 w 718"/>
              <a:gd name="T29" fmla="*/ 1434560 h 1659"/>
              <a:gd name="T30" fmla="*/ 595379 w 718"/>
              <a:gd name="T31" fmla="*/ 1534139 h 1659"/>
              <a:gd name="T32" fmla="*/ 553989 w 718"/>
              <a:gd name="T33" fmla="*/ 1674173 h 1659"/>
              <a:gd name="T34" fmla="*/ 601747 w 718"/>
              <a:gd name="T35" fmla="*/ 1733298 h 1659"/>
              <a:gd name="T36" fmla="*/ 692486 w 718"/>
              <a:gd name="T37" fmla="*/ 1890446 h 1659"/>
              <a:gd name="T38" fmla="*/ 667015 w 718"/>
              <a:gd name="T39" fmla="*/ 2002472 h 1659"/>
              <a:gd name="T40" fmla="*/ 511007 w 718"/>
              <a:gd name="T41" fmla="*/ 2102051 h 1659"/>
              <a:gd name="T42" fmla="*/ 450514 w 718"/>
              <a:gd name="T43" fmla="*/ 2388341 h 1659"/>
              <a:gd name="T44" fmla="*/ 324752 w 718"/>
              <a:gd name="T45" fmla="*/ 2458357 h 1659"/>
              <a:gd name="T46" fmla="*/ 270627 w 718"/>
              <a:gd name="T47" fmla="*/ 2475472 h 1659"/>
              <a:gd name="T48" fmla="*/ 276994 w 718"/>
              <a:gd name="T49" fmla="*/ 2551712 h 1659"/>
              <a:gd name="T50" fmla="*/ 186255 w 718"/>
              <a:gd name="T51" fmla="*/ 2575051 h 1659"/>
              <a:gd name="T52" fmla="*/ 144865 w 718"/>
              <a:gd name="T53" fmla="*/ 2540821 h 1659"/>
              <a:gd name="T54" fmla="*/ 132130 w 718"/>
              <a:gd name="T55" fmla="*/ 2435018 h 1659"/>
              <a:gd name="T56" fmla="*/ 162376 w 718"/>
              <a:gd name="T57" fmla="*/ 2382117 h 1659"/>
              <a:gd name="T58" fmla="*/ 78004 w 718"/>
              <a:gd name="T59" fmla="*/ 2259199 h 1659"/>
              <a:gd name="T60" fmla="*/ 41390 w 718"/>
              <a:gd name="T61" fmla="*/ 2182959 h 1659"/>
              <a:gd name="T62" fmla="*/ 71636 w 718"/>
              <a:gd name="T63" fmla="*/ 2106719 h 1659"/>
              <a:gd name="T64" fmla="*/ 41390 w 718"/>
              <a:gd name="T65" fmla="*/ 2119166 h 1659"/>
              <a:gd name="T66" fmla="*/ 0 w 718"/>
              <a:gd name="T67" fmla="*/ 2019587 h 1659"/>
              <a:gd name="T68" fmla="*/ 66861 w 718"/>
              <a:gd name="T69" fmla="*/ 2042926 h 1659"/>
              <a:gd name="T70" fmla="*/ 90740 w 718"/>
              <a:gd name="T71" fmla="*/ 1890446 h 1659"/>
              <a:gd name="T72" fmla="*/ 95515 w 718"/>
              <a:gd name="T73" fmla="*/ 1703735 h 1659"/>
              <a:gd name="T74" fmla="*/ 90740 w 718"/>
              <a:gd name="T75" fmla="*/ 1504577 h 1659"/>
              <a:gd name="T76" fmla="*/ 108251 w 718"/>
              <a:gd name="T77" fmla="*/ 1222955 h 1659"/>
              <a:gd name="T78" fmla="*/ 108251 w 718"/>
              <a:gd name="T79" fmla="*/ 1100037 h 1659"/>
              <a:gd name="T80" fmla="*/ 210134 w 718"/>
              <a:gd name="T81" fmla="*/ 1076698 h 1659"/>
              <a:gd name="T82" fmla="*/ 234013 w 718"/>
              <a:gd name="T83" fmla="*/ 989567 h 1659"/>
              <a:gd name="T84" fmla="*/ 307241 w 718"/>
              <a:gd name="T85" fmla="*/ 707945 h 1659"/>
              <a:gd name="T86" fmla="*/ 354999 w 718"/>
              <a:gd name="T87" fmla="*/ 707945 h 1659"/>
              <a:gd name="T88" fmla="*/ 348631 w 718"/>
              <a:gd name="T89" fmla="*/ 614589 h 1659"/>
              <a:gd name="T90" fmla="*/ 450514 w 718"/>
              <a:gd name="T91" fmla="*/ 368754 h 1659"/>
              <a:gd name="T92" fmla="*/ 547621 w 718"/>
              <a:gd name="T93" fmla="*/ 228721 h 1659"/>
              <a:gd name="T94" fmla="*/ 619258 w 718"/>
              <a:gd name="T95" fmla="*/ 216273 h 1659"/>
              <a:gd name="T96" fmla="*/ 631993 w 718"/>
              <a:gd name="T97" fmla="*/ 110470 h 1659"/>
              <a:gd name="T98" fmla="*/ 764122 w 718"/>
              <a:gd name="T99" fmla="*/ 76240 h 1659"/>
              <a:gd name="T100" fmla="*/ 829391 w 718"/>
              <a:gd name="T101" fmla="*/ 0 h 1659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w 718"/>
              <a:gd name="T154" fmla="*/ 0 h 1659"/>
              <a:gd name="T155" fmla="*/ 718 w 718"/>
              <a:gd name="T156" fmla="*/ 1659 h 1659"/>
            </a:gdLst>
            <a:ahLst/>
            <a:cxnLst>
              <a:cxn ang="T102">
                <a:pos x="T0" y="T1"/>
              </a:cxn>
              <a:cxn ang="T103">
                <a:pos x="T2" y="T3"/>
              </a:cxn>
              <a:cxn ang="T104">
                <a:pos x="T4" y="T5"/>
              </a:cxn>
              <a:cxn ang="T105">
                <a:pos x="T6" y="T7"/>
              </a:cxn>
              <a:cxn ang="T106">
                <a:pos x="T8" y="T9"/>
              </a:cxn>
              <a:cxn ang="T107">
                <a:pos x="T10" y="T11"/>
              </a:cxn>
              <a:cxn ang="T108">
                <a:pos x="T12" y="T13"/>
              </a:cxn>
              <a:cxn ang="T109">
                <a:pos x="T14" y="T15"/>
              </a:cxn>
              <a:cxn ang="T110">
                <a:pos x="T16" y="T17"/>
              </a:cxn>
              <a:cxn ang="T111">
                <a:pos x="T18" y="T19"/>
              </a:cxn>
              <a:cxn ang="T112">
                <a:pos x="T20" y="T21"/>
              </a:cxn>
              <a:cxn ang="T113">
                <a:pos x="T22" y="T23"/>
              </a:cxn>
              <a:cxn ang="T114">
                <a:pos x="T24" y="T25"/>
              </a:cxn>
              <a:cxn ang="T115">
                <a:pos x="T26" y="T27"/>
              </a:cxn>
              <a:cxn ang="T116">
                <a:pos x="T28" y="T29"/>
              </a:cxn>
              <a:cxn ang="T117">
                <a:pos x="T30" y="T31"/>
              </a:cxn>
              <a:cxn ang="T118">
                <a:pos x="T32" y="T33"/>
              </a:cxn>
              <a:cxn ang="T119">
                <a:pos x="T34" y="T35"/>
              </a:cxn>
              <a:cxn ang="T120">
                <a:pos x="T36" y="T37"/>
              </a:cxn>
              <a:cxn ang="T121">
                <a:pos x="T38" y="T39"/>
              </a:cxn>
              <a:cxn ang="T122">
                <a:pos x="T40" y="T41"/>
              </a:cxn>
              <a:cxn ang="T123">
                <a:pos x="T42" y="T43"/>
              </a:cxn>
              <a:cxn ang="T124">
                <a:pos x="T44" y="T45"/>
              </a:cxn>
              <a:cxn ang="T125">
                <a:pos x="T46" y="T47"/>
              </a:cxn>
              <a:cxn ang="T126">
                <a:pos x="T48" y="T49"/>
              </a:cxn>
              <a:cxn ang="T127">
                <a:pos x="T50" y="T51"/>
              </a:cxn>
              <a:cxn ang="T128">
                <a:pos x="T52" y="T53"/>
              </a:cxn>
              <a:cxn ang="T129">
                <a:pos x="T54" y="T55"/>
              </a:cxn>
              <a:cxn ang="T130">
                <a:pos x="T56" y="T57"/>
              </a:cxn>
              <a:cxn ang="T131">
                <a:pos x="T58" y="T59"/>
              </a:cxn>
              <a:cxn ang="T132">
                <a:pos x="T60" y="T61"/>
              </a:cxn>
              <a:cxn ang="T133">
                <a:pos x="T62" y="T63"/>
              </a:cxn>
              <a:cxn ang="T134">
                <a:pos x="T64" y="T65"/>
              </a:cxn>
              <a:cxn ang="T135">
                <a:pos x="T66" y="T67"/>
              </a:cxn>
              <a:cxn ang="T136">
                <a:pos x="T68" y="T69"/>
              </a:cxn>
              <a:cxn ang="T137">
                <a:pos x="T70" y="T71"/>
              </a:cxn>
              <a:cxn ang="T138">
                <a:pos x="T72" y="T73"/>
              </a:cxn>
              <a:cxn ang="T139">
                <a:pos x="T74" y="T75"/>
              </a:cxn>
              <a:cxn ang="T140">
                <a:pos x="T76" y="T77"/>
              </a:cxn>
              <a:cxn ang="T141">
                <a:pos x="T78" y="T79"/>
              </a:cxn>
              <a:cxn ang="T142">
                <a:pos x="T80" y="T81"/>
              </a:cxn>
              <a:cxn ang="T143">
                <a:pos x="T82" y="T83"/>
              </a:cxn>
              <a:cxn ang="T144">
                <a:pos x="T84" y="T85"/>
              </a:cxn>
              <a:cxn ang="T145">
                <a:pos x="T86" y="T87"/>
              </a:cxn>
              <a:cxn ang="T146">
                <a:pos x="T88" y="T89"/>
              </a:cxn>
              <a:cxn ang="T147">
                <a:pos x="T90" y="T91"/>
              </a:cxn>
              <a:cxn ang="T148">
                <a:pos x="T92" y="T93"/>
              </a:cxn>
              <a:cxn ang="T149">
                <a:pos x="T94" y="T95"/>
              </a:cxn>
              <a:cxn ang="T150">
                <a:pos x="T96" y="T97"/>
              </a:cxn>
              <a:cxn ang="T151">
                <a:pos x="T98" y="T99"/>
              </a:cxn>
              <a:cxn ang="T152">
                <a:pos x="T100" y="T101"/>
              </a:cxn>
            </a:cxnLst>
            <a:rect l="T153" t="T154" r="T155" b="T156"/>
            <a:pathLst>
              <a:path w="718" h="1659">
                <a:moveTo>
                  <a:pt x="521" y="0"/>
                </a:moveTo>
                <a:lnTo>
                  <a:pt x="571" y="64"/>
                </a:lnTo>
                <a:lnTo>
                  <a:pt x="654" y="94"/>
                </a:lnTo>
                <a:lnTo>
                  <a:pt x="680" y="139"/>
                </a:lnTo>
                <a:lnTo>
                  <a:pt x="692" y="226"/>
                </a:lnTo>
                <a:lnTo>
                  <a:pt x="718" y="305"/>
                </a:lnTo>
                <a:lnTo>
                  <a:pt x="703" y="384"/>
                </a:lnTo>
                <a:lnTo>
                  <a:pt x="699" y="429"/>
                </a:lnTo>
                <a:lnTo>
                  <a:pt x="714" y="478"/>
                </a:lnTo>
                <a:lnTo>
                  <a:pt x="669" y="485"/>
                </a:lnTo>
                <a:lnTo>
                  <a:pt x="635" y="466"/>
                </a:lnTo>
                <a:lnTo>
                  <a:pt x="631" y="489"/>
                </a:lnTo>
                <a:lnTo>
                  <a:pt x="605" y="500"/>
                </a:lnTo>
                <a:lnTo>
                  <a:pt x="612" y="523"/>
                </a:lnTo>
                <a:lnTo>
                  <a:pt x="567" y="557"/>
                </a:lnTo>
                <a:lnTo>
                  <a:pt x="544" y="624"/>
                </a:lnTo>
                <a:lnTo>
                  <a:pt x="578" y="662"/>
                </a:lnTo>
                <a:lnTo>
                  <a:pt x="533" y="715"/>
                </a:lnTo>
                <a:lnTo>
                  <a:pt x="499" y="730"/>
                </a:lnTo>
                <a:lnTo>
                  <a:pt x="480" y="767"/>
                </a:lnTo>
                <a:lnTo>
                  <a:pt x="465" y="749"/>
                </a:lnTo>
                <a:lnTo>
                  <a:pt x="442" y="798"/>
                </a:lnTo>
                <a:lnTo>
                  <a:pt x="431" y="786"/>
                </a:lnTo>
                <a:lnTo>
                  <a:pt x="393" y="824"/>
                </a:lnTo>
                <a:lnTo>
                  <a:pt x="408" y="835"/>
                </a:lnTo>
                <a:lnTo>
                  <a:pt x="393" y="858"/>
                </a:lnTo>
                <a:lnTo>
                  <a:pt x="374" y="846"/>
                </a:lnTo>
                <a:lnTo>
                  <a:pt x="374" y="877"/>
                </a:lnTo>
                <a:lnTo>
                  <a:pt x="355" y="895"/>
                </a:lnTo>
                <a:lnTo>
                  <a:pt x="370" y="922"/>
                </a:lnTo>
                <a:lnTo>
                  <a:pt x="359" y="967"/>
                </a:lnTo>
                <a:lnTo>
                  <a:pt x="374" y="986"/>
                </a:lnTo>
                <a:lnTo>
                  <a:pt x="351" y="982"/>
                </a:lnTo>
                <a:lnTo>
                  <a:pt x="348" y="1076"/>
                </a:lnTo>
                <a:lnTo>
                  <a:pt x="359" y="1110"/>
                </a:lnTo>
                <a:lnTo>
                  <a:pt x="378" y="1114"/>
                </a:lnTo>
                <a:lnTo>
                  <a:pt x="427" y="1177"/>
                </a:lnTo>
                <a:lnTo>
                  <a:pt x="435" y="1215"/>
                </a:lnTo>
                <a:lnTo>
                  <a:pt x="408" y="1260"/>
                </a:lnTo>
                <a:lnTo>
                  <a:pt x="419" y="1287"/>
                </a:lnTo>
                <a:lnTo>
                  <a:pt x="363" y="1305"/>
                </a:lnTo>
                <a:lnTo>
                  <a:pt x="321" y="1351"/>
                </a:lnTo>
                <a:lnTo>
                  <a:pt x="306" y="1433"/>
                </a:lnTo>
                <a:lnTo>
                  <a:pt x="283" y="1535"/>
                </a:lnTo>
                <a:lnTo>
                  <a:pt x="272" y="1584"/>
                </a:lnTo>
                <a:lnTo>
                  <a:pt x="204" y="1580"/>
                </a:lnTo>
                <a:lnTo>
                  <a:pt x="200" y="1599"/>
                </a:lnTo>
                <a:lnTo>
                  <a:pt x="170" y="1591"/>
                </a:lnTo>
                <a:lnTo>
                  <a:pt x="159" y="1621"/>
                </a:lnTo>
                <a:lnTo>
                  <a:pt x="174" y="1640"/>
                </a:lnTo>
                <a:lnTo>
                  <a:pt x="162" y="1659"/>
                </a:lnTo>
                <a:lnTo>
                  <a:pt x="117" y="1655"/>
                </a:lnTo>
                <a:lnTo>
                  <a:pt x="83" y="1651"/>
                </a:lnTo>
                <a:lnTo>
                  <a:pt x="91" y="1633"/>
                </a:lnTo>
                <a:lnTo>
                  <a:pt x="68" y="1565"/>
                </a:lnTo>
                <a:lnTo>
                  <a:pt x="83" y="1565"/>
                </a:lnTo>
                <a:lnTo>
                  <a:pt x="72" y="1554"/>
                </a:lnTo>
                <a:lnTo>
                  <a:pt x="102" y="1531"/>
                </a:lnTo>
                <a:lnTo>
                  <a:pt x="64" y="1509"/>
                </a:lnTo>
                <a:lnTo>
                  <a:pt x="49" y="1452"/>
                </a:lnTo>
                <a:lnTo>
                  <a:pt x="38" y="1463"/>
                </a:lnTo>
                <a:lnTo>
                  <a:pt x="26" y="1403"/>
                </a:lnTo>
                <a:lnTo>
                  <a:pt x="38" y="1384"/>
                </a:lnTo>
                <a:lnTo>
                  <a:pt x="45" y="1354"/>
                </a:lnTo>
                <a:lnTo>
                  <a:pt x="30" y="1339"/>
                </a:lnTo>
                <a:lnTo>
                  <a:pt x="26" y="1362"/>
                </a:lnTo>
                <a:lnTo>
                  <a:pt x="8" y="1351"/>
                </a:lnTo>
                <a:lnTo>
                  <a:pt x="0" y="1298"/>
                </a:lnTo>
                <a:lnTo>
                  <a:pt x="15" y="1283"/>
                </a:lnTo>
                <a:lnTo>
                  <a:pt x="42" y="1313"/>
                </a:lnTo>
                <a:lnTo>
                  <a:pt x="49" y="1249"/>
                </a:lnTo>
                <a:lnTo>
                  <a:pt x="57" y="1215"/>
                </a:lnTo>
                <a:lnTo>
                  <a:pt x="91" y="1189"/>
                </a:lnTo>
                <a:lnTo>
                  <a:pt x="60" y="1095"/>
                </a:lnTo>
                <a:lnTo>
                  <a:pt x="91" y="1035"/>
                </a:lnTo>
                <a:lnTo>
                  <a:pt x="57" y="967"/>
                </a:lnTo>
                <a:lnTo>
                  <a:pt x="53" y="805"/>
                </a:lnTo>
                <a:lnTo>
                  <a:pt x="68" y="786"/>
                </a:lnTo>
                <a:lnTo>
                  <a:pt x="49" y="760"/>
                </a:lnTo>
                <a:lnTo>
                  <a:pt x="68" y="707"/>
                </a:lnTo>
                <a:lnTo>
                  <a:pt x="98" y="681"/>
                </a:lnTo>
                <a:lnTo>
                  <a:pt x="132" y="692"/>
                </a:lnTo>
                <a:lnTo>
                  <a:pt x="170" y="681"/>
                </a:lnTo>
                <a:lnTo>
                  <a:pt x="147" y="636"/>
                </a:lnTo>
                <a:lnTo>
                  <a:pt x="193" y="538"/>
                </a:lnTo>
                <a:lnTo>
                  <a:pt x="193" y="455"/>
                </a:lnTo>
                <a:lnTo>
                  <a:pt x="197" y="444"/>
                </a:lnTo>
                <a:lnTo>
                  <a:pt x="223" y="455"/>
                </a:lnTo>
                <a:lnTo>
                  <a:pt x="238" y="421"/>
                </a:lnTo>
                <a:lnTo>
                  <a:pt x="219" y="395"/>
                </a:lnTo>
                <a:lnTo>
                  <a:pt x="302" y="305"/>
                </a:lnTo>
                <a:lnTo>
                  <a:pt x="283" y="237"/>
                </a:lnTo>
                <a:lnTo>
                  <a:pt x="299" y="203"/>
                </a:lnTo>
                <a:lnTo>
                  <a:pt x="344" y="147"/>
                </a:lnTo>
                <a:lnTo>
                  <a:pt x="367" y="158"/>
                </a:lnTo>
                <a:lnTo>
                  <a:pt x="389" y="139"/>
                </a:lnTo>
                <a:lnTo>
                  <a:pt x="370" y="94"/>
                </a:lnTo>
                <a:lnTo>
                  <a:pt x="397" y="71"/>
                </a:lnTo>
                <a:lnTo>
                  <a:pt x="476" y="92"/>
                </a:lnTo>
                <a:lnTo>
                  <a:pt x="480" y="49"/>
                </a:lnTo>
                <a:lnTo>
                  <a:pt x="491" y="4"/>
                </a:lnTo>
                <a:lnTo>
                  <a:pt x="521" y="0"/>
                </a:lnTo>
              </a:path>
            </a:pathLst>
          </a:custGeom>
          <a:solidFill>
            <a:srgbClr val="80A7D5"/>
          </a:solidFill>
          <a:ln w="3175">
            <a:solidFill>
              <a:srgbClr val="80A7D5"/>
            </a:solidFill>
            <a:round/>
            <a:headEnd/>
            <a:tailEnd/>
          </a:ln>
        </xdr:spPr>
      </xdr:sp>
      <xdr:sp macro="" textlink="">
        <xdr:nvSpPr>
          <xdr:cNvPr id="25705" name="S_SWE2"/>
          <xdr:cNvSpPr>
            <a:spLocks noChangeAspect="1"/>
          </xdr:cNvSpPr>
        </xdr:nvSpPr>
        <xdr:spPr bwMode="auto">
          <a:xfrm>
            <a:off x="3143250" y="3248025"/>
            <a:ext cx="47625" cy="104775"/>
          </a:xfrm>
          <a:custGeom>
            <a:avLst/>
            <a:gdLst>
              <a:gd name="T0" fmla="*/ 46137 w 32"/>
              <a:gd name="T1" fmla="*/ 4911 h 64"/>
              <a:gd name="T2" fmla="*/ 28277 w 32"/>
              <a:gd name="T3" fmla="*/ 18008 h 64"/>
              <a:gd name="T4" fmla="*/ 23813 w 32"/>
              <a:gd name="T5" fmla="*/ 47476 h 64"/>
              <a:gd name="T6" fmla="*/ 25301 w 32"/>
              <a:gd name="T7" fmla="*/ 55662 h 64"/>
              <a:gd name="T8" fmla="*/ 11906 w 32"/>
              <a:gd name="T9" fmla="*/ 103138 h 64"/>
              <a:gd name="T10" fmla="*/ 0 w 32"/>
              <a:gd name="T11" fmla="*/ 73670 h 64"/>
              <a:gd name="T12" fmla="*/ 0 w 32"/>
              <a:gd name="T13" fmla="*/ 42565 h 64"/>
              <a:gd name="T14" fmla="*/ 8930 w 32"/>
              <a:gd name="T15" fmla="*/ 0 h 64"/>
              <a:gd name="T16" fmla="*/ 23813 w 32"/>
              <a:gd name="T17" fmla="*/ 13097 h 64"/>
              <a:gd name="T18" fmla="*/ 34230 w 32"/>
              <a:gd name="T19" fmla="*/ 0 h 64"/>
              <a:gd name="T20" fmla="*/ 46137 w 32"/>
              <a:gd name="T21" fmla="*/ 4911 h 64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32"/>
              <a:gd name="T34" fmla="*/ 0 h 64"/>
              <a:gd name="T35" fmla="*/ 32 w 32"/>
              <a:gd name="T36" fmla="*/ 64 h 64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32" h="64">
                <a:moveTo>
                  <a:pt x="31" y="3"/>
                </a:moveTo>
                <a:lnTo>
                  <a:pt x="19" y="11"/>
                </a:lnTo>
                <a:lnTo>
                  <a:pt x="16" y="29"/>
                </a:lnTo>
                <a:lnTo>
                  <a:pt x="17" y="34"/>
                </a:lnTo>
                <a:lnTo>
                  <a:pt x="8" y="63"/>
                </a:lnTo>
                <a:lnTo>
                  <a:pt x="0" y="45"/>
                </a:lnTo>
                <a:lnTo>
                  <a:pt x="0" y="26"/>
                </a:lnTo>
                <a:lnTo>
                  <a:pt x="6" y="0"/>
                </a:lnTo>
                <a:lnTo>
                  <a:pt x="16" y="8"/>
                </a:lnTo>
                <a:lnTo>
                  <a:pt x="23" y="0"/>
                </a:lnTo>
                <a:lnTo>
                  <a:pt x="31" y="3"/>
                </a:lnTo>
              </a:path>
            </a:pathLst>
          </a:custGeom>
          <a:solidFill>
            <a:srgbClr val="80A7D5"/>
          </a:solidFill>
          <a:ln w="3175">
            <a:solidFill>
              <a:srgbClr val="80A7D5"/>
            </a:solidFill>
            <a:round/>
            <a:headEnd/>
            <a:tailEnd/>
          </a:ln>
        </xdr:spPr>
      </xdr:sp>
      <xdr:sp macro="" textlink="">
        <xdr:nvSpPr>
          <xdr:cNvPr id="25706" name="S_SWE1"/>
          <xdr:cNvSpPr>
            <a:spLocks noChangeAspect="1"/>
          </xdr:cNvSpPr>
        </xdr:nvSpPr>
        <xdr:spPr bwMode="auto">
          <a:xfrm>
            <a:off x="3000375" y="3352800"/>
            <a:ext cx="19050" cy="133350"/>
          </a:xfrm>
          <a:custGeom>
            <a:avLst/>
            <a:gdLst>
              <a:gd name="T0" fmla="*/ 11112 w 12"/>
              <a:gd name="T1" fmla="*/ 0 h 88"/>
              <a:gd name="T2" fmla="*/ 17463 w 12"/>
              <a:gd name="T3" fmla="*/ 4546 h 88"/>
              <a:gd name="T4" fmla="*/ 4763 w 12"/>
              <a:gd name="T5" fmla="*/ 89405 h 88"/>
              <a:gd name="T6" fmla="*/ 3175 w 12"/>
              <a:gd name="T7" fmla="*/ 119712 h 88"/>
              <a:gd name="T8" fmla="*/ 0 w 12"/>
              <a:gd name="T9" fmla="*/ 131835 h 88"/>
              <a:gd name="T10" fmla="*/ 0 w 12"/>
              <a:gd name="T11" fmla="*/ 84859 h 88"/>
              <a:gd name="T12" fmla="*/ 11112 w 12"/>
              <a:gd name="T13" fmla="*/ 0 h 88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2"/>
              <a:gd name="T22" fmla="*/ 0 h 88"/>
              <a:gd name="T23" fmla="*/ 12 w 12"/>
              <a:gd name="T24" fmla="*/ 88 h 88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2" h="88">
                <a:moveTo>
                  <a:pt x="7" y="0"/>
                </a:moveTo>
                <a:lnTo>
                  <a:pt x="11" y="3"/>
                </a:lnTo>
                <a:lnTo>
                  <a:pt x="3" y="59"/>
                </a:lnTo>
                <a:lnTo>
                  <a:pt x="2" y="79"/>
                </a:lnTo>
                <a:lnTo>
                  <a:pt x="0" y="87"/>
                </a:lnTo>
                <a:lnTo>
                  <a:pt x="0" y="56"/>
                </a:lnTo>
                <a:lnTo>
                  <a:pt x="7" y="0"/>
                </a:lnTo>
              </a:path>
            </a:pathLst>
          </a:custGeom>
          <a:solidFill>
            <a:srgbClr val="80A7D5"/>
          </a:solidFill>
          <a:ln w="3175">
            <a:solidFill>
              <a:srgbClr val="80A7D5"/>
            </a:solidFill>
            <a:round/>
            <a:headEnd/>
            <a:tailEnd/>
          </a:ln>
        </xdr:spPr>
      </xdr:sp>
    </xdr:grpSp>
    <xdr:clientData/>
  </xdr:twoCellAnchor>
  <xdr:twoCellAnchor>
    <xdr:from>
      <xdr:col>5</xdr:col>
      <xdr:colOff>114300</xdr:colOff>
      <xdr:row>27</xdr:row>
      <xdr:rowOff>95250</xdr:rowOff>
    </xdr:from>
    <xdr:to>
      <xdr:col>5</xdr:col>
      <xdr:colOff>561975</xdr:colOff>
      <xdr:row>28</xdr:row>
      <xdr:rowOff>133350</xdr:rowOff>
    </xdr:to>
    <xdr:sp macro="" textlink="">
      <xdr:nvSpPr>
        <xdr:cNvPr id="25660" name="S_SVK"/>
        <xdr:cNvSpPr>
          <a:spLocks noChangeAspect="1"/>
        </xdr:cNvSpPr>
      </xdr:nvSpPr>
      <xdr:spPr bwMode="auto">
        <a:xfrm>
          <a:off x="3086100" y="4476750"/>
          <a:ext cx="447675" cy="200025"/>
        </a:xfrm>
        <a:custGeom>
          <a:avLst/>
          <a:gdLst>
            <a:gd name="T0" fmla="*/ 44293 w 283"/>
            <a:gd name="T1" fmla="*/ 162622 h 123"/>
            <a:gd name="T2" fmla="*/ 25310 w 283"/>
            <a:gd name="T3" fmla="*/ 160996 h 123"/>
            <a:gd name="T4" fmla="*/ 11073 w 283"/>
            <a:gd name="T5" fmla="*/ 149612 h 123"/>
            <a:gd name="T6" fmla="*/ 0 w 283"/>
            <a:gd name="T7" fmla="*/ 131724 h 123"/>
            <a:gd name="T8" fmla="*/ 22146 w 283"/>
            <a:gd name="T9" fmla="*/ 100826 h 123"/>
            <a:gd name="T10" fmla="*/ 64858 w 283"/>
            <a:gd name="T11" fmla="*/ 105704 h 123"/>
            <a:gd name="T12" fmla="*/ 98077 w 283"/>
            <a:gd name="T13" fmla="*/ 74806 h 123"/>
            <a:gd name="T14" fmla="*/ 120224 w 283"/>
            <a:gd name="T15" fmla="*/ 19515 h 123"/>
            <a:gd name="T16" fmla="*/ 153443 w 283"/>
            <a:gd name="T17" fmla="*/ 6505 h 123"/>
            <a:gd name="T18" fmla="*/ 153443 w 283"/>
            <a:gd name="T19" fmla="*/ 19515 h 123"/>
            <a:gd name="T20" fmla="*/ 213555 w 283"/>
            <a:gd name="T21" fmla="*/ 0 h 123"/>
            <a:gd name="T22" fmla="*/ 251521 w 283"/>
            <a:gd name="T23" fmla="*/ 50413 h 123"/>
            <a:gd name="T24" fmla="*/ 289486 w 283"/>
            <a:gd name="T25" fmla="*/ 13010 h 123"/>
            <a:gd name="T26" fmla="*/ 316378 w 283"/>
            <a:gd name="T27" fmla="*/ 37403 h 123"/>
            <a:gd name="T28" fmla="*/ 376490 w 283"/>
            <a:gd name="T29" fmla="*/ 6505 h 123"/>
            <a:gd name="T30" fmla="*/ 447675 w 283"/>
            <a:gd name="T31" fmla="*/ 61796 h 123"/>
            <a:gd name="T32" fmla="*/ 425529 w 283"/>
            <a:gd name="T33" fmla="*/ 138229 h 123"/>
            <a:gd name="T34" fmla="*/ 387563 w 283"/>
            <a:gd name="T35" fmla="*/ 149612 h 123"/>
            <a:gd name="T36" fmla="*/ 373326 w 283"/>
            <a:gd name="T37" fmla="*/ 123593 h 123"/>
            <a:gd name="T38" fmla="*/ 348016 w 283"/>
            <a:gd name="T39" fmla="*/ 147986 h 123"/>
            <a:gd name="T40" fmla="*/ 291068 w 283"/>
            <a:gd name="T41" fmla="*/ 121966 h 123"/>
            <a:gd name="T42" fmla="*/ 248357 w 283"/>
            <a:gd name="T43" fmla="*/ 177258 h 123"/>
            <a:gd name="T44" fmla="*/ 188245 w 283"/>
            <a:gd name="T45" fmla="*/ 162622 h 123"/>
            <a:gd name="T46" fmla="*/ 158189 w 283"/>
            <a:gd name="T47" fmla="*/ 190268 h 123"/>
            <a:gd name="T48" fmla="*/ 75931 w 283"/>
            <a:gd name="T49" fmla="*/ 200025 h 123"/>
            <a:gd name="T50" fmla="*/ 44293 w 283"/>
            <a:gd name="T51" fmla="*/ 162622 h 123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w 283"/>
            <a:gd name="T79" fmla="*/ 0 h 123"/>
            <a:gd name="T80" fmla="*/ 283 w 283"/>
            <a:gd name="T81" fmla="*/ 123 h 123"/>
          </a:gdLst>
          <a:ahLst/>
          <a:cxnLst>
            <a:cxn ang="T52">
              <a:pos x="T0" y="T1"/>
            </a:cxn>
            <a:cxn ang="T53">
              <a:pos x="T2" y="T3"/>
            </a:cxn>
            <a:cxn ang="T54">
              <a:pos x="T4" y="T5"/>
            </a:cxn>
            <a:cxn ang="T55">
              <a:pos x="T6" y="T7"/>
            </a:cxn>
            <a:cxn ang="T56">
              <a:pos x="T8" y="T9"/>
            </a:cxn>
            <a:cxn ang="T57">
              <a:pos x="T10" y="T11"/>
            </a:cxn>
            <a:cxn ang="T58">
              <a:pos x="T12" y="T13"/>
            </a:cxn>
            <a:cxn ang="T59">
              <a:pos x="T14" y="T15"/>
            </a:cxn>
            <a:cxn ang="T60">
              <a:pos x="T16" y="T17"/>
            </a:cxn>
            <a:cxn ang="T61">
              <a:pos x="T18" y="T19"/>
            </a:cxn>
            <a:cxn ang="T62">
              <a:pos x="T20" y="T21"/>
            </a:cxn>
            <a:cxn ang="T63">
              <a:pos x="T22" y="T23"/>
            </a:cxn>
            <a:cxn ang="T64">
              <a:pos x="T24" y="T25"/>
            </a:cxn>
            <a:cxn ang="T65">
              <a:pos x="T26" y="T27"/>
            </a:cxn>
            <a:cxn ang="T66">
              <a:pos x="T28" y="T29"/>
            </a:cxn>
            <a:cxn ang="T67">
              <a:pos x="T30" y="T31"/>
            </a:cxn>
            <a:cxn ang="T68">
              <a:pos x="T32" y="T33"/>
            </a:cxn>
            <a:cxn ang="T69">
              <a:pos x="T34" y="T35"/>
            </a:cxn>
            <a:cxn ang="T70">
              <a:pos x="T36" y="T37"/>
            </a:cxn>
            <a:cxn ang="T71">
              <a:pos x="T38" y="T39"/>
            </a:cxn>
            <a:cxn ang="T72">
              <a:pos x="T40" y="T41"/>
            </a:cxn>
            <a:cxn ang="T73">
              <a:pos x="T42" y="T43"/>
            </a:cxn>
            <a:cxn ang="T74">
              <a:pos x="T44" y="T45"/>
            </a:cxn>
            <a:cxn ang="T75">
              <a:pos x="T46" y="T47"/>
            </a:cxn>
            <a:cxn ang="T76">
              <a:pos x="T48" y="T49"/>
            </a:cxn>
            <a:cxn ang="T77">
              <a:pos x="T50" y="T51"/>
            </a:cxn>
          </a:cxnLst>
          <a:rect l="T78" t="T79" r="T80" b="T81"/>
          <a:pathLst>
            <a:path w="283" h="123">
              <a:moveTo>
                <a:pt x="28" y="100"/>
              </a:moveTo>
              <a:lnTo>
                <a:pt x="16" y="99"/>
              </a:lnTo>
              <a:lnTo>
                <a:pt x="7" y="92"/>
              </a:lnTo>
              <a:lnTo>
                <a:pt x="0" y="81"/>
              </a:lnTo>
              <a:lnTo>
                <a:pt x="14" y="62"/>
              </a:lnTo>
              <a:lnTo>
                <a:pt x="41" y="65"/>
              </a:lnTo>
              <a:lnTo>
                <a:pt x="62" y="46"/>
              </a:lnTo>
              <a:lnTo>
                <a:pt x="76" y="12"/>
              </a:lnTo>
              <a:lnTo>
                <a:pt x="97" y="4"/>
              </a:lnTo>
              <a:lnTo>
                <a:pt x="97" y="12"/>
              </a:lnTo>
              <a:lnTo>
                <a:pt x="135" y="0"/>
              </a:lnTo>
              <a:lnTo>
                <a:pt x="159" y="31"/>
              </a:lnTo>
              <a:lnTo>
                <a:pt x="183" y="8"/>
              </a:lnTo>
              <a:lnTo>
                <a:pt x="200" y="23"/>
              </a:lnTo>
              <a:lnTo>
                <a:pt x="238" y="4"/>
              </a:lnTo>
              <a:lnTo>
                <a:pt x="283" y="38"/>
              </a:lnTo>
              <a:lnTo>
                <a:pt x="269" y="85"/>
              </a:lnTo>
              <a:lnTo>
                <a:pt x="245" y="92"/>
              </a:lnTo>
              <a:lnTo>
                <a:pt x="236" y="76"/>
              </a:lnTo>
              <a:lnTo>
                <a:pt x="220" y="91"/>
              </a:lnTo>
              <a:lnTo>
                <a:pt x="184" y="75"/>
              </a:lnTo>
              <a:lnTo>
                <a:pt x="157" y="109"/>
              </a:lnTo>
              <a:lnTo>
                <a:pt x="119" y="100"/>
              </a:lnTo>
              <a:lnTo>
                <a:pt x="100" y="117"/>
              </a:lnTo>
              <a:lnTo>
                <a:pt x="48" y="123"/>
              </a:lnTo>
              <a:lnTo>
                <a:pt x="28" y="100"/>
              </a:lnTo>
            </a:path>
          </a:pathLst>
        </a:custGeom>
        <a:solidFill>
          <a:srgbClr val="A7C5EA"/>
        </a:solidFill>
        <a:ln w="3175">
          <a:solidFill>
            <a:srgbClr val="A7C5EA"/>
          </a:solidFill>
          <a:round/>
          <a:headEnd/>
          <a:tailEnd/>
        </a:ln>
      </xdr:spPr>
    </xdr:sp>
    <xdr:clientData/>
  </xdr:twoCellAnchor>
  <xdr:twoCellAnchor>
    <xdr:from>
      <xdr:col>5</xdr:col>
      <xdr:colOff>38100</xdr:colOff>
      <xdr:row>30</xdr:row>
      <xdr:rowOff>104775</xdr:rowOff>
    </xdr:from>
    <xdr:to>
      <xdr:col>5</xdr:col>
      <xdr:colOff>381000</xdr:colOff>
      <xdr:row>32</xdr:row>
      <xdr:rowOff>66675</xdr:rowOff>
    </xdr:to>
    <xdr:sp macro="" textlink="">
      <xdr:nvSpPr>
        <xdr:cNvPr id="25661" name="S_BIH"/>
        <xdr:cNvSpPr>
          <a:spLocks noChangeAspect="1"/>
        </xdr:cNvSpPr>
      </xdr:nvSpPr>
      <xdr:spPr bwMode="auto">
        <a:xfrm>
          <a:off x="3009900" y="4972050"/>
          <a:ext cx="342900" cy="285750"/>
        </a:xfrm>
        <a:custGeom>
          <a:avLst/>
          <a:gdLst>
            <a:gd name="T0" fmla="*/ 180222 w 215"/>
            <a:gd name="T1" fmla="*/ 252132 h 187"/>
            <a:gd name="T2" fmla="*/ 186601 w 215"/>
            <a:gd name="T3" fmla="*/ 241436 h 187"/>
            <a:gd name="T4" fmla="*/ 145134 w 215"/>
            <a:gd name="T5" fmla="*/ 209346 h 187"/>
            <a:gd name="T6" fmla="*/ 145134 w 215"/>
            <a:gd name="T7" fmla="*/ 192537 h 187"/>
            <a:gd name="T8" fmla="*/ 132375 w 215"/>
            <a:gd name="T9" fmla="*/ 186425 h 187"/>
            <a:gd name="T10" fmla="*/ 47847 w 215"/>
            <a:gd name="T11" fmla="*/ 116134 h 187"/>
            <a:gd name="T12" fmla="*/ 41467 w 215"/>
            <a:gd name="T13" fmla="*/ 99325 h 187"/>
            <a:gd name="T14" fmla="*/ 23923 w 215"/>
            <a:gd name="T15" fmla="*/ 61123 h 187"/>
            <a:gd name="T16" fmla="*/ 0 w 215"/>
            <a:gd name="T17" fmla="*/ 55011 h 187"/>
            <a:gd name="T18" fmla="*/ 6380 w 215"/>
            <a:gd name="T19" fmla="*/ 6112 h 187"/>
            <a:gd name="T20" fmla="*/ 17544 w 215"/>
            <a:gd name="T21" fmla="*/ 6112 h 187"/>
            <a:gd name="T22" fmla="*/ 47847 w 215"/>
            <a:gd name="T23" fmla="*/ 27505 h 187"/>
            <a:gd name="T24" fmla="*/ 71770 w 215"/>
            <a:gd name="T25" fmla="*/ 6112 h 187"/>
            <a:gd name="T26" fmla="*/ 86124 w 215"/>
            <a:gd name="T27" fmla="*/ 1528 h 187"/>
            <a:gd name="T28" fmla="*/ 102073 w 215"/>
            <a:gd name="T29" fmla="*/ 0 h 187"/>
            <a:gd name="T30" fmla="*/ 138755 w 215"/>
            <a:gd name="T31" fmla="*/ 9168 h 187"/>
            <a:gd name="T32" fmla="*/ 186601 w 215"/>
            <a:gd name="T33" fmla="*/ 21393 h 187"/>
            <a:gd name="T34" fmla="*/ 196171 w 215"/>
            <a:gd name="T35" fmla="*/ 0 h 187"/>
            <a:gd name="T36" fmla="*/ 229663 w 215"/>
            <a:gd name="T37" fmla="*/ 4584 h 187"/>
            <a:gd name="T38" fmla="*/ 271130 w 215"/>
            <a:gd name="T39" fmla="*/ 4584 h 187"/>
            <a:gd name="T40" fmla="*/ 275915 w 215"/>
            <a:gd name="T41" fmla="*/ 18337 h 187"/>
            <a:gd name="T42" fmla="*/ 264751 w 215"/>
            <a:gd name="T43" fmla="*/ 27505 h 187"/>
            <a:gd name="T44" fmla="*/ 291864 w 215"/>
            <a:gd name="T45" fmla="*/ 22921 h 187"/>
            <a:gd name="T46" fmla="*/ 312597 w 215"/>
            <a:gd name="T47" fmla="*/ 27505 h 187"/>
            <a:gd name="T48" fmla="*/ 318977 w 215"/>
            <a:gd name="T49" fmla="*/ 48898 h 187"/>
            <a:gd name="T50" fmla="*/ 295054 w 215"/>
            <a:gd name="T51" fmla="*/ 76404 h 187"/>
            <a:gd name="T52" fmla="*/ 301433 w 215"/>
            <a:gd name="T53" fmla="*/ 93213 h 187"/>
            <a:gd name="T54" fmla="*/ 342900 w 215"/>
            <a:gd name="T55" fmla="*/ 116134 h 187"/>
            <a:gd name="T56" fmla="*/ 336520 w 215"/>
            <a:gd name="T57" fmla="*/ 126830 h 187"/>
            <a:gd name="T58" fmla="*/ 306218 w 215"/>
            <a:gd name="T59" fmla="*/ 126830 h 187"/>
            <a:gd name="T60" fmla="*/ 342900 w 215"/>
            <a:gd name="T61" fmla="*/ 165032 h 187"/>
            <a:gd name="T62" fmla="*/ 318977 w 215"/>
            <a:gd name="T63" fmla="*/ 175729 h 187"/>
            <a:gd name="T64" fmla="*/ 288674 w 215"/>
            <a:gd name="T65" fmla="*/ 175729 h 187"/>
            <a:gd name="T66" fmla="*/ 301433 w 215"/>
            <a:gd name="T67" fmla="*/ 192537 h 187"/>
            <a:gd name="T68" fmla="*/ 295054 w 215"/>
            <a:gd name="T69" fmla="*/ 203234 h 187"/>
            <a:gd name="T70" fmla="*/ 282294 w 215"/>
            <a:gd name="T71" fmla="*/ 197122 h 187"/>
            <a:gd name="T72" fmla="*/ 271130 w 215"/>
            <a:gd name="T73" fmla="*/ 213931 h 187"/>
            <a:gd name="T74" fmla="*/ 271130 w 215"/>
            <a:gd name="T75" fmla="*/ 241436 h 187"/>
            <a:gd name="T76" fmla="*/ 264751 w 215"/>
            <a:gd name="T77" fmla="*/ 241436 h 187"/>
            <a:gd name="T78" fmla="*/ 251992 w 215"/>
            <a:gd name="T79" fmla="*/ 264357 h 187"/>
            <a:gd name="T80" fmla="*/ 264751 w 215"/>
            <a:gd name="T81" fmla="*/ 275053 h 187"/>
            <a:gd name="T82" fmla="*/ 251992 w 215"/>
            <a:gd name="T83" fmla="*/ 285750 h 187"/>
            <a:gd name="T84" fmla="*/ 197766 w 215"/>
            <a:gd name="T85" fmla="*/ 252132 h 187"/>
            <a:gd name="T86" fmla="*/ 186601 w 215"/>
            <a:gd name="T87" fmla="*/ 258245 h 187"/>
            <a:gd name="T88" fmla="*/ 180222 w 215"/>
            <a:gd name="T89" fmla="*/ 252132 h 187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w 215"/>
            <a:gd name="T136" fmla="*/ 0 h 187"/>
            <a:gd name="T137" fmla="*/ 215 w 215"/>
            <a:gd name="T138" fmla="*/ 187 h 187"/>
          </a:gdLst>
          <a:ahLst/>
          <a:cxnLst>
            <a:cxn ang="T90">
              <a:pos x="T0" y="T1"/>
            </a:cxn>
            <a:cxn ang="T91">
              <a:pos x="T2" y="T3"/>
            </a:cxn>
            <a:cxn ang="T92">
              <a:pos x="T4" y="T5"/>
            </a:cxn>
            <a:cxn ang="T93">
              <a:pos x="T6" y="T7"/>
            </a:cxn>
            <a:cxn ang="T94">
              <a:pos x="T8" y="T9"/>
            </a:cxn>
            <a:cxn ang="T95">
              <a:pos x="T10" y="T11"/>
            </a:cxn>
            <a:cxn ang="T96">
              <a:pos x="T12" y="T13"/>
            </a:cxn>
            <a:cxn ang="T97">
              <a:pos x="T14" y="T15"/>
            </a:cxn>
            <a:cxn ang="T98">
              <a:pos x="T16" y="T17"/>
            </a:cxn>
            <a:cxn ang="T99">
              <a:pos x="T18" y="T19"/>
            </a:cxn>
            <a:cxn ang="T100">
              <a:pos x="T20" y="T21"/>
            </a:cxn>
            <a:cxn ang="T101">
              <a:pos x="T22" y="T23"/>
            </a:cxn>
            <a:cxn ang="T102">
              <a:pos x="T24" y="T25"/>
            </a:cxn>
            <a:cxn ang="T103">
              <a:pos x="T26" y="T27"/>
            </a:cxn>
            <a:cxn ang="T104">
              <a:pos x="T28" y="T29"/>
            </a:cxn>
            <a:cxn ang="T105">
              <a:pos x="T30" y="T31"/>
            </a:cxn>
            <a:cxn ang="T106">
              <a:pos x="T32" y="T33"/>
            </a:cxn>
            <a:cxn ang="T107">
              <a:pos x="T34" y="T35"/>
            </a:cxn>
            <a:cxn ang="T108">
              <a:pos x="T36" y="T37"/>
            </a:cxn>
            <a:cxn ang="T109">
              <a:pos x="T38" y="T39"/>
            </a:cxn>
            <a:cxn ang="T110">
              <a:pos x="T40" y="T41"/>
            </a:cxn>
            <a:cxn ang="T111">
              <a:pos x="T42" y="T43"/>
            </a:cxn>
            <a:cxn ang="T112">
              <a:pos x="T44" y="T45"/>
            </a:cxn>
            <a:cxn ang="T113">
              <a:pos x="T46" y="T47"/>
            </a:cxn>
            <a:cxn ang="T114">
              <a:pos x="T48" y="T49"/>
            </a:cxn>
            <a:cxn ang="T115">
              <a:pos x="T50" y="T51"/>
            </a:cxn>
            <a:cxn ang="T116">
              <a:pos x="T52" y="T53"/>
            </a:cxn>
            <a:cxn ang="T117">
              <a:pos x="T54" y="T55"/>
            </a:cxn>
            <a:cxn ang="T118">
              <a:pos x="T56" y="T57"/>
            </a:cxn>
            <a:cxn ang="T119">
              <a:pos x="T58" y="T59"/>
            </a:cxn>
            <a:cxn ang="T120">
              <a:pos x="T60" y="T61"/>
            </a:cxn>
            <a:cxn ang="T121">
              <a:pos x="T62" y="T63"/>
            </a:cxn>
            <a:cxn ang="T122">
              <a:pos x="T64" y="T65"/>
            </a:cxn>
            <a:cxn ang="T123">
              <a:pos x="T66" y="T67"/>
            </a:cxn>
            <a:cxn ang="T124">
              <a:pos x="T68" y="T69"/>
            </a:cxn>
            <a:cxn ang="T125">
              <a:pos x="T70" y="T71"/>
            </a:cxn>
            <a:cxn ang="T126">
              <a:pos x="T72" y="T73"/>
            </a:cxn>
            <a:cxn ang="T127">
              <a:pos x="T74" y="T75"/>
            </a:cxn>
            <a:cxn ang="T128">
              <a:pos x="T76" y="T77"/>
            </a:cxn>
            <a:cxn ang="T129">
              <a:pos x="T78" y="T79"/>
            </a:cxn>
            <a:cxn ang="T130">
              <a:pos x="T80" y="T81"/>
            </a:cxn>
            <a:cxn ang="T131">
              <a:pos x="T82" y="T83"/>
            </a:cxn>
            <a:cxn ang="T132">
              <a:pos x="T84" y="T85"/>
            </a:cxn>
            <a:cxn ang="T133">
              <a:pos x="T86" y="T87"/>
            </a:cxn>
            <a:cxn ang="T134">
              <a:pos x="T88" y="T89"/>
            </a:cxn>
          </a:cxnLst>
          <a:rect l="T135" t="T136" r="T137" b="T138"/>
          <a:pathLst>
            <a:path w="215" h="187">
              <a:moveTo>
                <a:pt x="113" y="165"/>
              </a:moveTo>
              <a:lnTo>
                <a:pt x="117" y="158"/>
              </a:lnTo>
              <a:lnTo>
                <a:pt x="91" y="137"/>
              </a:lnTo>
              <a:lnTo>
                <a:pt x="91" y="126"/>
              </a:lnTo>
              <a:lnTo>
                <a:pt x="83" y="122"/>
              </a:lnTo>
              <a:lnTo>
                <a:pt x="30" y="76"/>
              </a:lnTo>
              <a:lnTo>
                <a:pt x="26" y="65"/>
              </a:lnTo>
              <a:lnTo>
                <a:pt x="15" y="40"/>
              </a:lnTo>
              <a:lnTo>
                <a:pt x="0" y="36"/>
              </a:lnTo>
              <a:lnTo>
                <a:pt x="4" y="4"/>
              </a:lnTo>
              <a:lnTo>
                <a:pt x="11" y="4"/>
              </a:lnTo>
              <a:lnTo>
                <a:pt x="30" y="18"/>
              </a:lnTo>
              <a:lnTo>
                <a:pt x="45" y="4"/>
              </a:lnTo>
              <a:lnTo>
                <a:pt x="54" y="1"/>
              </a:lnTo>
              <a:lnTo>
                <a:pt x="64" y="0"/>
              </a:lnTo>
              <a:lnTo>
                <a:pt x="87" y="6"/>
              </a:lnTo>
              <a:lnTo>
                <a:pt x="117" y="14"/>
              </a:lnTo>
              <a:lnTo>
                <a:pt x="123" y="0"/>
              </a:lnTo>
              <a:lnTo>
                <a:pt x="144" y="3"/>
              </a:lnTo>
              <a:lnTo>
                <a:pt x="170" y="3"/>
              </a:lnTo>
              <a:lnTo>
                <a:pt x="173" y="12"/>
              </a:lnTo>
              <a:lnTo>
                <a:pt x="166" y="18"/>
              </a:lnTo>
              <a:lnTo>
                <a:pt x="183" y="15"/>
              </a:lnTo>
              <a:lnTo>
                <a:pt x="196" y="18"/>
              </a:lnTo>
              <a:lnTo>
                <a:pt x="200" y="32"/>
              </a:lnTo>
              <a:lnTo>
                <a:pt x="185" y="50"/>
              </a:lnTo>
              <a:lnTo>
                <a:pt x="189" y="61"/>
              </a:lnTo>
              <a:lnTo>
                <a:pt x="215" y="76"/>
              </a:lnTo>
              <a:lnTo>
                <a:pt x="211" y="83"/>
              </a:lnTo>
              <a:lnTo>
                <a:pt x="192" y="83"/>
              </a:lnTo>
              <a:lnTo>
                <a:pt x="215" y="108"/>
              </a:lnTo>
              <a:lnTo>
                <a:pt x="200" y="115"/>
              </a:lnTo>
              <a:lnTo>
                <a:pt x="181" y="115"/>
              </a:lnTo>
              <a:lnTo>
                <a:pt x="189" y="126"/>
              </a:lnTo>
              <a:lnTo>
                <a:pt x="185" y="133"/>
              </a:lnTo>
              <a:lnTo>
                <a:pt x="177" y="129"/>
              </a:lnTo>
              <a:lnTo>
                <a:pt x="170" y="140"/>
              </a:lnTo>
              <a:lnTo>
                <a:pt x="170" y="158"/>
              </a:lnTo>
              <a:lnTo>
                <a:pt x="166" y="158"/>
              </a:lnTo>
              <a:lnTo>
                <a:pt x="158" y="173"/>
              </a:lnTo>
              <a:lnTo>
                <a:pt x="166" y="180"/>
              </a:lnTo>
              <a:lnTo>
                <a:pt x="158" y="187"/>
              </a:lnTo>
              <a:lnTo>
                <a:pt x="124" y="165"/>
              </a:lnTo>
              <a:lnTo>
                <a:pt x="117" y="169"/>
              </a:lnTo>
              <a:lnTo>
                <a:pt x="113" y="165"/>
              </a:lnTo>
            </a:path>
          </a:pathLst>
        </a:custGeom>
        <a:solidFill>
          <a:srgbClr val="BAD2EE"/>
        </a:solidFill>
        <a:ln w="3175">
          <a:solidFill>
            <a:srgbClr val="BAD2EE"/>
          </a:solidFill>
          <a:round/>
          <a:headEnd/>
          <a:tailEnd/>
        </a:ln>
      </xdr:spPr>
    </xdr:sp>
    <xdr:clientData/>
  </xdr:twoCellAnchor>
  <xdr:twoCellAnchor>
    <xdr:from>
      <xdr:col>4</xdr:col>
      <xdr:colOff>552450</xdr:colOff>
      <xdr:row>29</xdr:row>
      <xdr:rowOff>114300</xdr:rowOff>
    </xdr:from>
    <xdr:to>
      <xdr:col>5</xdr:col>
      <xdr:colOff>371475</xdr:colOff>
      <xdr:row>32</xdr:row>
      <xdr:rowOff>28575</xdr:rowOff>
    </xdr:to>
    <xdr:sp macro="" textlink="">
      <xdr:nvSpPr>
        <xdr:cNvPr id="25662" name="S_HRV"/>
        <xdr:cNvSpPr>
          <a:spLocks noChangeAspect="1"/>
        </xdr:cNvSpPr>
      </xdr:nvSpPr>
      <xdr:spPr bwMode="auto">
        <a:xfrm>
          <a:off x="2809875" y="4819650"/>
          <a:ext cx="533400" cy="400050"/>
        </a:xfrm>
        <a:custGeom>
          <a:avLst/>
          <a:gdLst>
            <a:gd name="T0" fmla="*/ 475561 w 332"/>
            <a:gd name="T1" fmla="*/ 166433 h 262"/>
            <a:gd name="T2" fmla="*/ 438609 w 332"/>
            <a:gd name="T3" fmla="*/ 160325 h 262"/>
            <a:gd name="T4" fmla="*/ 393623 w 332"/>
            <a:gd name="T5" fmla="*/ 171014 h 262"/>
            <a:gd name="T6" fmla="*/ 305259 w 332"/>
            <a:gd name="T7" fmla="*/ 148110 h 262"/>
            <a:gd name="T8" fmla="*/ 273127 w 332"/>
            <a:gd name="T9" fmla="*/ 148110 h 262"/>
            <a:gd name="T10" fmla="*/ 220108 w 332"/>
            <a:gd name="T11" fmla="*/ 154218 h 262"/>
            <a:gd name="T12" fmla="*/ 197615 w 332"/>
            <a:gd name="T13" fmla="*/ 193917 h 262"/>
            <a:gd name="T14" fmla="*/ 240994 w 332"/>
            <a:gd name="T15" fmla="*/ 239725 h 262"/>
            <a:gd name="T16" fmla="*/ 335785 w 332"/>
            <a:gd name="T17" fmla="*/ 331339 h 262"/>
            <a:gd name="T18" fmla="*/ 348638 w 332"/>
            <a:gd name="T19" fmla="*/ 354243 h 262"/>
            <a:gd name="T20" fmla="*/ 387197 w 332"/>
            <a:gd name="T21" fmla="*/ 400050 h 262"/>
            <a:gd name="T22" fmla="*/ 335785 w 332"/>
            <a:gd name="T23" fmla="*/ 366458 h 262"/>
            <a:gd name="T24" fmla="*/ 285980 w 332"/>
            <a:gd name="T25" fmla="*/ 348135 h 262"/>
            <a:gd name="T26" fmla="*/ 266700 w 332"/>
            <a:gd name="T27" fmla="*/ 371039 h 262"/>
            <a:gd name="T28" fmla="*/ 215288 w 332"/>
            <a:gd name="T29" fmla="*/ 337447 h 262"/>
            <a:gd name="T30" fmla="*/ 139777 w 332"/>
            <a:gd name="T31" fmla="*/ 285532 h 262"/>
            <a:gd name="T32" fmla="*/ 159056 w 332"/>
            <a:gd name="T33" fmla="*/ 239725 h 262"/>
            <a:gd name="T34" fmla="*/ 126923 w 332"/>
            <a:gd name="T35" fmla="*/ 160325 h 262"/>
            <a:gd name="T36" fmla="*/ 57839 w 332"/>
            <a:gd name="T37" fmla="*/ 193917 h 262"/>
            <a:gd name="T38" fmla="*/ 0 w 332"/>
            <a:gd name="T39" fmla="*/ 120626 h 262"/>
            <a:gd name="T40" fmla="*/ 12853 w 332"/>
            <a:gd name="T41" fmla="*/ 120626 h 262"/>
            <a:gd name="T42" fmla="*/ 75511 w 332"/>
            <a:gd name="T43" fmla="*/ 102303 h 262"/>
            <a:gd name="T44" fmla="*/ 114070 w 332"/>
            <a:gd name="T45" fmla="*/ 114518 h 262"/>
            <a:gd name="T46" fmla="*/ 152630 w 332"/>
            <a:gd name="T47" fmla="*/ 114518 h 262"/>
            <a:gd name="T48" fmla="*/ 178336 w 332"/>
            <a:gd name="T49" fmla="*/ 62603 h 262"/>
            <a:gd name="T50" fmla="*/ 191189 w 332"/>
            <a:gd name="T51" fmla="*/ 45807 h 262"/>
            <a:gd name="T52" fmla="*/ 202435 w 332"/>
            <a:gd name="T53" fmla="*/ 29011 h 262"/>
            <a:gd name="T54" fmla="*/ 234567 w 332"/>
            <a:gd name="T55" fmla="*/ 10688 h 262"/>
            <a:gd name="T56" fmla="*/ 247420 w 332"/>
            <a:gd name="T57" fmla="*/ 0 h 262"/>
            <a:gd name="T58" fmla="*/ 279553 w 332"/>
            <a:gd name="T59" fmla="*/ 0 h 262"/>
            <a:gd name="T60" fmla="*/ 311686 w 332"/>
            <a:gd name="T61" fmla="*/ 62603 h 262"/>
            <a:gd name="T62" fmla="*/ 475561 w 332"/>
            <a:gd name="T63" fmla="*/ 56496 h 262"/>
            <a:gd name="T64" fmla="*/ 488414 w 332"/>
            <a:gd name="T65" fmla="*/ 91614 h 262"/>
            <a:gd name="T66" fmla="*/ 494841 w 332"/>
            <a:gd name="T67" fmla="*/ 114518 h 262"/>
            <a:gd name="T68" fmla="*/ 533400 w 332"/>
            <a:gd name="T69" fmla="*/ 125206 h 262"/>
            <a:gd name="T70" fmla="*/ 501267 w 332"/>
            <a:gd name="T71" fmla="*/ 143529 h 262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w 332"/>
            <a:gd name="T109" fmla="*/ 0 h 262"/>
            <a:gd name="T110" fmla="*/ 332 w 332"/>
            <a:gd name="T111" fmla="*/ 262 h 262"/>
          </a:gdLst>
          <a:ahLst/>
          <a:cxnLst>
            <a:cxn ang="T72">
              <a:pos x="T0" y="T1"/>
            </a:cxn>
            <a:cxn ang="T73">
              <a:pos x="T2" y="T3"/>
            </a:cxn>
            <a:cxn ang="T74">
              <a:pos x="T4" y="T5"/>
            </a:cxn>
            <a:cxn ang="T75">
              <a:pos x="T6" y="T7"/>
            </a:cxn>
            <a:cxn ang="T76">
              <a:pos x="T8" y="T9"/>
            </a:cxn>
            <a:cxn ang="T77">
              <a:pos x="T10" y="T11"/>
            </a:cxn>
            <a:cxn ang="T78">
              <a:pos x="T12" y="T13"/>
            </a:cxn>
            <a:cxn ang="T79">
              <a:pos x="T14" y="T15"/>
            </a:cxn>
            <a:cxn ang="T80">
              <a:pos x="T16" y="T17"/>
            </a:cxn>
            <a:cxn ang="T81">
              <a:pos x="T18" y="T19"/>
            </a:cxn>
            <a:cxn ang="T82">
              <a:pos x="T20" y="T21"/>
            </a:cxn>
            <a:cxn ang="T83">
              <a:pos x="T22" y="T23"/>
            </a:cxn>
            <a:cxn ang="T84">
              <a:pos x="T24" y="T25"/>
            </a:cxn>
            <a:cxn ang="T85">
              <a:pos x="T26" y="T27"/>
            </a:cxn>
            <a:cxn ang="T86">
              <a:pos x="T28" y="T29"/>
            </a:cxn>
            <a:cxn ang="T87">
              <a:pos x="T30" y="T31"/>
            </a:cxn>
            <a:cxn ang="T88">
              <a:pos x="T32" y="T33"/>
            </a:cxn>
            <a:cxn ang="T89">
              <a:pos x="T34" y="T35"/>
            </a:cxn>
            <a:cxn ang="T90">
              <a:pos x="T36" y="T37"/>
            </a:cxn>
            <a:cxn ang="T91">
              <a:pos x="T38" y="T39"/>
            </a:cxn>
            <a:cxn ang="T92">
              <a:pos x="T40" y="T41"/>
            </a:cxn>
            <a:cxn ang="T93">
              <a:pos x="T42" y="T43"/>
            </a:cxn>
            <a:cxn ang="T94">
              <a:pos x="T44" y="T45"/>
            </a:cxn>
            <a:cxn ang="T95">
              <a:pos x="T46" y="T47"/>
            </a:cxn>
            <a:cxn ang="T96">
              <a:pos x="T48" y="T49"/>
            </a:cxn>
            <a:cxn ang="T97">
              <a:pos x="T50" y="T51"/>
            </a:cxn>
            <a:cxn ang="T98">
              <a:pos x="T52" y="T53"/>
            </a:cxn>
            <a:cxn ang="T99">
              <a:pos x="T54" y="T55"/>
            </a:cxn>
            <a:cxn ang="T100">
              <a:pos x="T56" y="T57"/>
            </a:cxn>
            <a:cxn ang="T101">
              <a:pos x="T58" y="T59"/>
            </a:cxn>
            <a:cxn ang="T102">
              <a:pos x="T60" y="T61"/>
            </a:cxn>
            <a:cxn ang="T103">
              <a:pos x="T62" y="T63"/>
            </a:cxn>
            <a:cxn ang="T104">
              <a:pos x="T64" y="T65"/>
            </a:cxn>
            <a:cxn ang="T105">
              <a:pos x="T66" y="T67"/>
            </a:cxn>
            <a:cxn ang="T106">
              <a:pos x="T68" y="T69"/>
            </a:cxn>
            <a:cxn ang="T107">
              <a:pos x="T70" y="T71"/>
            </a:cxn>
          </a:cxnLst>
          <a:rect l="T108" t="T109" r="T110" b="T111"/>
          <a:pathLst>
            <a:path w="332" h="262">
              <a:moveTo>
                <a:pt x="312" y="112"/>
              </a:moveTo>
              <a:lnTo>
                <a:pt x="296" y="109"/>
              </a:lnTo>
              <a:lnTo>
                <a:pt x="296" y="101"/>
              </a:lnTo>
              <a:lnTo>
                <a:pt x="273" y="105"/>
              </a:lnTo>
              <a:lnTo>
                <a:pt x="249" y="97"/>
              </a:lnTo>
              <a:lnTo>
                <a:pt x="245" y="112"/>
              </a:lnTo>
              <a:lnTo>
                <a:pt x="213" y="105"/>
              </a:lnTo>
              <a:lnTo>
                <a:pt x="190" y="97"/>
              </a:lnTo>
              <a:lnTo>
                <a:pt x="182" y="97"/>
              </a:lnTo>
              <a:lnTo>
                <a:pt x="170" y="97"/>
              </a:lnTo>
              <a:lnTo>
                <a:pt x="158" y="116"/>
              </a:lnTo>
              <a:lnTo>
                <a:pt x="137" y="101"/>
              </a:lnTo>
              <a:lnTo>
                <a:pt x="129" y="101"/>
              </a:lnTo>
              <a:lnTo>
                <a:pt x="123" y="127"/>
              </a:lnTo>
              <a:lnTo>
                <a:pt x="138" y="131"/>
              </a:lnTo>
              <a:lnTo>
                <a:pt x="150" y="157"/>
              </a:lnTo>
              <a:lnTo>
                <a:pt x="154" y="168"/>
              </a:lnTo>
              <a:lnTo>
                <a:pt x="209" y="217"/>
              </a:lnTo>
              <a:lnTo>
                <a:pt x="217" y="221"/>
              </a:lnTo>
              <a:lnTo>
                <a:pt x="217" y="232"/>
              </a:lnTo>
              <a:lnTo>
                <a:pt x="245" y="255"/>
              </a:lnTo>
              <a:lnTo>
                <a:pt x="241" y="262"/>
              </a:lnTo>
              <a:lnTo>
                <a:pt x="209" y="255"/>
              </a:lnTo>
              <a:lnTo>
                <a:pt x="209" y="240"/>
              </a:lnTo>
              <a:lnTo>
                <a:pt x="190" y="221"/>
              </a:lnTo>
              <a:lnTo>
                <a:pt x="178" y="228"/>
              </a:lnTo>
              <a:lnTo>
                <a:pt x="198" y="247"/>
              </a:lnTo>
              <a:lnTo>
                <a:pt x="166" y="243"/>
              </a:lnTo>
              <a:lnTo>
                <a:pt x="166" y="221"/>
              </a:lnTo>
              <a:lnTo>
                <a:pt x="134" y="221"/>
              </a:lnTo>
              <a:lnTo>
                <a:pt x="111" y="183"/>
              </a:lnTo>
              <a:lnTo>
                <a:pt x="87" y="187"/>
              </a:lnTo>
              <a:lnTo>
                <a:pt x="83" y="161"/>
              </a:lnTo>
              <a:lnTo>
                <a:pt x="99" y="157"/>
              </a:lnTo>
              <a:lnTo>
                <a:pt x="71" y="131"/>
              </a:lnTo>
              <a:lnTo>
                <a:pt x="79" y="105"/>
              </a:lnTo>
              <a:lnTo>
                <a:pt x="51" y="97"/>
              </a:lnTo>
              <a:lnTo>
                <a:pt x="36" y="127"/>
              </a:lnTo>
              <a:lnTo>
                <a:pt x="16" y="124"/>
              </a:lnTo>
              <a:lnTo>
                <a:pt x="0" y="79"/>
              </a:lnTo>
              <a:lnTo>
                <a:pt x="4" y="79"/>
              </a:lnTo>
              <a:lnTo>
                <a:pt x="8" y="79"/>
              </a:lnTo>
              <a:lnTo>
                <a:pt x="32" y="79"/>
              </a:lnTo>
              <a:lnTo>
                <a:pt x="47" y="67"/>
              </a:lnTo>
              <a:lnTo>
                <a:pt x="59" y="64"/>
              </a:lnTo>
              <a:lnTo>
                <a:pt x="71" y="75"/>
              </a:lnTo>
              <a:lnTo>
                <a:pt x="91" y="82"/>
              </a:lnTo>
              <a:lnTo>
                <a:pt x="95" y="75"/>
              </a:lnTo>
              <a:lnTo>
                <a:pt x="103" y="56"/>
              </a:lnTo>
              <a:lnTo>
                <a:pt x="111" y="41"/>
              </a:lnTo>
              <a:lnTo>
                <a:pt x="115" y="34"/>
              </a:lnTo>
              <a:lnTo>
                <a:pt x="119" y="30"/>
              </a:lnTo>
              <a:lnTo>
                <a:pt x="119" y="19"/>
              </a:lnTo>
              <a:lnTo>
                <a:pt x="126" y="19"/>
              </a:lnTo>
              <a:lnTo>
                <a:pt x="138" y="7"/>
              </a:lnTo>
              <a:lnTo>
                <a:pt x="146" y="7"/>
              </a:lnTo>
              <a:lnTo>
                <a:pt x="146" y="4"/>
              </a:lnTo>
              <a:lnTo>
                <a:pt x="154" y="0"/>
              </a:lnTo>
              <a:lnTo>
                <a:pt x="166" y="4"/>
              </a:lnTo>
              <a:lnTo>
                <a:pt x="174" y="0"/>
              </a:lnTo>
              <a:lnTo>
                <a:pt x="178" y="7"/>
              </a:lnTo>
              <a:lnTo>
                <a:pt x="194" y="41"/>
              </a:lnTo>
              <a:lnTo>
                <a:pt x="261" y="64"/>
              </a:lnTo>
              <a:lnTo>
                <a:pt x="296" y="37"/>
              </a:lnTo>
              <a:lnTo>
                <a:pt x="304" y="49"/>
              </a:lnTo>
              <a:lnTo>
                <a:pt x="304" y="60"/>
              </a:lnTo>
              <a:lnTo>
                <a:pt x="312" y="64"/>
              </a:lnTo>
              <a:lnTo>
                <a:pt x="308" y="75"/>
              </a:lnTo>
              <a:lnTo>
                <a:pt x="316" y="82"/>
              </a:lnTo>
              <a:lnTo>
                <a:pt x="332" y="82"/>
              </a:lnTo>
              <a:lnTo>
                <a:pt x="332" y="90"/>
              </a:lnTo>
              <a:lnTo>
                <a:pt x="312" y="94"/>
              </a:lnTo>
              <a:lnTo>
                <a:pt x="312" y="112"/>
              </a:lnTo>
            </a:path>
          </a:pathLst>
        </a:custGeom>
        <a:solidFill>
          <a:srgbClr val="C0D6F0"/>
        </a:solidFill>
        <a:ln w="3175">
          <a:solidFill>
            <a:srgbClr val="C0D6F0"/>
          </a:solidFill>
          <a:round/>
          <a:headEnd/>
          <a:tailEnd/>
        </a:ln>
      </xdr:spPr>
    </xdr:sp>
    <xdr:clientData/>
  </xdr:twoCellAnchor>
  <xdr:twoCellAnchor>
    <xdr:from>
      <xdr:col>4</xdr:col>
      <xdr:colOff>523875</xdr:colOff>
      <xdr:row>29</xdr:row>
      <xdr:rowOff>104775</xdr:rowOff>
    </xdr:from>
    <xdr:to>
      <xdr:col>5</xdr:col>
      <xdr:colOff>104775</xdr:colOff>
      <xdr:row>30</xdr:row>
      <xdr:rowOff>85725</xdr:rowOff>
    </xdr:to>
    <xdr:sp macro="" textlink="">
      <xdr:nvSpPr>
        <xdr:cNvPr id="25663" name="S_SVN"/>
        <xdr:cNvSpPr>
          <a:spLocks noChangeAspect="1"/>
        </xdr:cNvSpPr>
      </xdr:nvSpPr>
      <xdr:spPr bwMode="auto">
        <a:xfrm>
          <a:off x="2781300" y="4810125"/>
          <a:ext cx="295275" cy="142875"/>
        </a:xfrm>
        <a:custGeom>
          <a:avLst/>
          <a:gdLst>
            <a:gd name="T0" fmla="*/ 19050 w 186"/>
            <a:gd name="T1" fmla="*/ 128427 h 89"/>
            <a:gd name="T2" fmla="*/ 44450 w 186"/>
            <a:gd name="T3" fmla="*/ 128427 h 89"/>
            <a:gd name="T4" fmla="*/ 25400 w 186"/>
            <a:gd name="T5" fmla="*/ 97926 h 89"/>
            <a:gd name="T6" fmla="*/ 31750 w 186"/>
            <a:gd name="T7" fmla="*/ 64213 h 89"/>
            <a:gd name="T8" fmla="*/ 0 w 186"/>
            <a:gd name="T9" fmla="*/ 54581 h 89"/>
            <a:gd name="T10" fmla="*/ 31750 w 186"/>
            <a:gd name="T11" fmla="*/ 33712 h 89"/>
            <a:gd name="T12" fmla="*/ 115888 w 186"/>
            <a:gd name="T13" fmla="*/ 54581 h 89"/>
            <a:gd name="T14" fmla="*/ 173037 w 186"/>
            <a:gd name="T15" fmla="*/ 28896 h 89"/>
            <a:gd name="T16" fmla="*/ 263525 w 186"/>
            <a:gd name="T17" fmla="*/ 0 h 89"/>
            <a:gd name="T18" fmla="*/ 295275 w 186"/>
            <a:gd name="T19" fmla="*/ 33712 h 89"/>
            <a:gd name="T20" fmla="*/ 282575 w 186"/>
            <a:gd name="T21" fmla="*/ 40133 h 89"/>
            <a:gd name="T22" fmla="*/ 263525 w 186"/>
            <a:gd name="T23" fmla="*/ 33712 h 89"/>
            <a:gd name="T24" fmla="*/ 250825 w 186"/>
            <a:gd name="T25" fmla="*/ 40133 h 89"/>
            <a:gd name="T26" fmla="*/ 250825 w 186"/>
            <a:gd name="T27" fmla="*/ 44949 h 89"/>
            <a:gd name="T28" fmla="*/ 238125 w 186"/>
            <a:gd name="T29" fmla="*/ 44949 h 89"/>
            <a:gd name="T30" fmla="*/ 217488 w 186"/>
            <a:gd name="T31" fmla="*/ 59397 h 89"/>
            <a:gd name="T32" fmla="*/ 217488 w 186"/>
            <a:gd name="T33" fmla="*/ 64213 h 89"/>
            <a:gd name="T34" fmla="*/ 204788 w 186"/>
            <a:gd name="T35" fmla="*/ 73846 h 89"/>
            <a:gd name="T36" fmla="*/ 211138 w 186"/>
            <a:gd name="T37" fmla="*/ 78662 h 89"/>
            <a:gd name="T38" fmla="*/ 204788 w 186"/>
            <a:gd name="T39" fmla="*/ 97926 h 89"/>
            <a:gd name="T40" fmla="*/ 184150 w 186"/>
            <a:gd name="T41" fmla="*/ 115584 h 89"/>
            <a:gd name="T42" fmla="*/ 179387 w 186"/>
            <a:gd name="T43" fmla="*/ 138059 h 89"/>
            <a:gd name="T44" fmla="*/ 160337 w 186"/>
            <a:gd name="T45" fmla="*/ 142875 h 89"/>
            <a:gd name="T46" fmla="*/ 128588 w 186"/>
            <a:gd name="T47" fmla="*/ 133243 h 89"/>
            <a:gd name="T48" fmla="*/ 109538 w 186"/>
            <a:gd name="T49" fmla="*/ 118795 h 89"/>
            <a:gd name="T50" fmla="*/ 96837 w 186"/>
            <a:gd name="T51" fmla="*/ 133243 h 89"/>
            <a:gd name="T52" fmla="*/ 69850 w 186"/>
            <a:gd name="T53" fmla="*/ 142875 h 89"/>
            <a:gd name="T54" fmla="*/ 25400 w 186"/>
            <a:gd name="T55" fmla="*/ 138059 h 89"/>
            <a:gd name="T56" fmla="*/ 19050 w 186"/>
            <a:gd name="T57" fmla="*/ 138059 h 89"/>
            <a:gd name="T58" fmla="*/ 19050 w 186"/>
            <a:gd name="T59" fmla="*/ 128427 h 89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w 186"/>
            <a:gd name="T91" fmla="*/ 0 h 89"/>
            <a:gd name="T92" fmla="*/ 186 w 186"/>
            <a:gd name="T93" fmla="*/ 89 h 89"/>
          </a:gdLst>
          <a:ahLst/>
          <a:cxnLst>
            <a:cxn ang="T60">
              <a:pos x="T0" y="T1"/>
            </a:cxn>
            <a:cxn ang="T61">
              <a:pos x="T2" y="T3"/>
            </a:cxn>
            <a:cxn ang="T62">
              <a:pos x="T4" y="T5"/>
            </a:cxn>
            <a:cxn ang="T63">
              <a:pos x="T6" y="T7"/>
            </a:cxn>
            <a:cxn ang="T64">
              <a:pos x="T8" y="T9"/>
            </a:cxn>
            <a:cxn ang="T65">
              <a:pos x="T10" y="T11"/>
            </a:cxn>
            <a:cxn ang="T66">
              <a:pos x="T12" y="T13"/>
            </a:cxn>
            <a:cxn ang="T67">
              <a:pos x="T14" y="T15"/>
            </a:cxn>
            <a:cxn ang="T68">
              <a:pos x="T16" y="T17"/>
            </a:cxn>
            <a:cxn ang="T69">
              <a:pos x="T18" y="T19"/>
            </a:cxn>
            <a:cxn ang="T70">
              <a:pos x="T20" y="T21"/>
            </a:cxn>
            <a:cxn ang="T71">
              <a:pos x="T22" y="T23"/>
            </a:cxn>
            <a:cxn ang="T72">
              <a:pos x="T24" y="T25"/>
            </a:cxn>
            <a:cxn ang="T73">
              <a:pos x="T26" y="T27"/>
            </a:cxn>
            <a:cxn ang="T74">
              <a:pos x="T28" y="T29"/>
            </a:cxn>
            <a:cxn ang="T75">
              <a:pos x="T30" y="T31"/>
            </a:cxn>
            <a:cxn ang="T76">
              <a:pos x="T32" y="T33"/>
            </a:cxn>
            <a:cxn ang="T77">
              <a:pos x="T34" y="T35"/>
            </a:cxn>
            <a:cxn ang="T78">
              <a:pos x="T36" y="T37"/>
            </a:cxn>
            <a:cxn ang="T79">
              <a:pos x="T38" y="T39"/>
            </a:cxn>
            <a:cxn ang="T80">
              <a:pos x="T40" y="T41"/>
            </a:cxn>
            <a:cxn ang="T81">
              <a:pos x="T42" y="T43"/>
            </a:cxn>
            <a:cxn ang="T82">
              <a:pos x="T44" y="T45"/>
            </a:cxn>
            <a:cxn ang="T83">
              <a:pos x="T46" y="T47"/>
            </a:cxn>
            <a:cxn ang="T84">
              <a:pos x="T48" y="T49"/>
            </a:cxn>
            <a:cxn ang="T85">
              <a:pos x="T50" y="T51"/>
            </a:cxn>
            <a:cxn ang="T86">
              <a:pos x="T52" y="T53"/>
            </a:cxn>
            <a:cxn ang="T87">
              <a:pos x="T54" y="T55"/>
            </a:cxn>
            <a:cxn ang="T88">
              <a:pos x="T56" y="T57"/>
            </a:cxn>
            <a:cxn ang="T89">
              <a:pos x="T58" y="T59"/>
            </a:cxn>
          </a:cxnLst>
          <a:rect l="T90" t="T91" r="T92" b="T93"/>
          <a:pathLst>
            <a:path w="186" h="89">
              <a:moveTo>
                <a:pt x="12" y="80"/>
              </a:moveTo>
              <a:lnTo>
                <a:pt x="28" y="80"/>
              </a:lnTo>
              <a:lnTo>
                <a:pt x="16" y="61"/>
              </a:lnTo>
              <a:lnTo>
                <a:pt x="20" y="40"/>
              </a:lnTo>
              <a:lnTo>
                <a:pt x="0" y="34"/>
              </a:lnTo>
              <a:lnTo>
                <a:pt x="20" y="21"/>
              </a:lnTo>
              <a:lnTo>
                <a:pt x="73" y="34"/>
              </a:lnTo>
              <a:lnTo>
                <a:pt x="109" y="18"/>
              </a:lnTo>
              <a:lnTo>
                <a:pt x="166" y="0"/>
              </a:lnTo>
              <a:lnTo>
                <a:pt x="186" y="21"/>
              </a:lnTo>
              <a:lnTo>
                <a:pt x="178" y="25"/>
              </a:lnTo>
              <a:lnTo>
                <a:pt x="166" y="21"/>
              </a:lnTo>
              <a:lnTo>
                <a:pt x="158" y="25"/>
              </a:lnTo>
              <a:lnTo>
                <a:pt x="158" y="28"/>
              </a:lnTo>
              <a:lnTo>
                <a:pt x="150" y="28"/>
              </a:lnTo>
              <a:lnTo>
                <a:pt x="137" y="37"/>
              </a:lnTo>
              <a:lnTo>
                <a:pt x="137" y="40"/>
              </a:lnTo>
              <a:lnTo>
                <a:pt x="129" y="46"/>
              </a:lnTo>
              <a:lnTo>
                <a:pt x="133" y="49"/>
              </a:lnTo>
              <a:lnTo>
                <a:pt x="129" y="61"/>
              </a:lnTo>
              <a:lnTo>
                <a:pt x="116" y="72"/>
              </a:lnTo>
              <a:lnTo>
                <a:pt x="113" y="86"/>
              </a:lnTo>
              <a:lnTo>
                <a:pt x="101" y="89"/>
              </a:lnTo>
              <a:lnTo>
                <a:pt x="81" y="83"/>
              </a:lnTo>
              <a:lnTo>
                <a:pt x="69" y="74"/>
              </a:lnTo>
              <a:lnTo>
                <a:pt x="61" y="83"/>
              </a:lnTo>
              <a:lnTo>
                <a:pt x="44" y="89"/>
              </a:lnTo>
              <a:lnTo>
                <a:pt x="16" y="86"/>
              </a:lnTo>
              <a:lnTo>
                <a:pt x="12" y="86"/>
              </a:lnTo>
              <a:lnTo>
                <a:pt x="12" y="80"/>
              </a:lnTo>
            </a:path>
          </a:pathLst>
        </a:custGeom>
        <a:solidFill>
          <a:srgbClr val="ECF3FB"/>
        </a:solidFill>
        <a:ln w="3175">
          <a:solidFill>
            <a:srgbClr val="ECF3FB"/>
          </a:solidFill>
          <a:round/>
          <a:headEnd/>
          <a:tailEnd/>
        </a:ln>
      </xdr:spPr>
    </xdr:sp>
    <xdr:clientData/>
  </xdr:twoCellAnchor>
  <xdr:twoCellAnchor>
    <xdr:from>
      <xdr:col>4</xdr:col>
      <xdr:colOff>133350</xdr:colOff>
      <xdr:row>20</xdr:row>
      <xdr:rowOff>95250</xdr:rowOff>
    </xdr:from>
    <xdr:to>
      <xdr:col>4</xdr:col>
      <xdr:colOff>314325</xdr:colOff>
      <xdr:row>23</xdr:row>
      <xdr:rowOff>85725</xdr:rowOff>
    </xdr:to>
    <xdr:grpSp>
      <xdr:nvGrpSpPr>
        <xdr:cNvPr id="25664" name="S_DNK"/>
        <xdr:cNvGrpSpPr>
          <a:grpSpLocks/>
        </xdr:cNvGrpSpPr>
      </xdr:nvGrpSpPr>
      <xdr:grpSpPr bwMode="auto">
        <a:xfrm>
          <a:off x="2390775" y="3771900"/>
          <a:ext cx="180975" cy="476250"/>
          <a:chOff x="251" y="368"/>
          <a:chExt cx="19" cy="50"/>
        </a:xfrm>
      </xdr:grpSpPr>
      <xdr:sp macro="" textlink="">
        <xdr:nvSpPr>
          <xdr:cNvPr id="25700" name="S_DNK4"/>
          <xdr:cNvSpPr>
            <a:spLocks noChangeAspect="1"/>
          </xdr:cNvSpPr>
        </xdr:nvSpPr>
        <xdr:spPr bwMode="auto">
          <a:xfrm>
            <a:off x="257" y="417"/>
            <a:ext cx="7" cy="1"/>
          </a:xfrm>
          <a:custGeom>
            <a:avLst/>
            <a:gdLst>
              <a:gd name="T0" fmla="*/ 1 w 39"/>
              <a:gd name="T1" fmla="*/ 0 h 1"/>
              <a:gd name="T2" fmla="*/ 4 w 39"/>
              <a:gd name="T3" fmla="*/ 0 h 1"/>
              <a:gd name="T4" fmla="*/ 6 w 39"/>
              <a:gd name="T5" fmla="*/ 0 h 1"/>
              <a:gd name="T6" fmla="*/ 7 w 39"/>
              <a:gd name="T7" fmla="*/ 0 h 1"/>
              <a:gd name="T8" fmla="*/ 6 w 39"/>
              <a:gd name="T9" fmla="*/ 0 h 1"/>
              <a:gd name="T10" fmla="*/ 4 w 39"/>
              <a:gd name="T11" fmla="*/ 0 h 1"/>
              <a:gd name="T12" fmla="*/ 3 w 39"/>
              <a:gd name="T13" fmla="*/ 0 h 1"/>
              <a:gd name="T14" fmla="*/ 0 w 39"/>
              <a:gd name="T15" fmla="*/ 0 h 1"/>
              <a:gd name="T16" fmla="*/ 1 w 39"/>
              <a:gd name="T17" fmla="*/ 0 h 1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39"/>
              <a:gd name="T28" fmla="*/ 0 h 1"/>
              <a:gd name="T29" fmla="*/ 39 w 39"/>
              <a:gd name="T30" fmla="*/ 1 h 1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39" h="1">
                <a:moveTo>
                  <a:pt x="6" y="0"/>
                </a:moveTo>
                <a:lnTo>
                  <a:pt x="21" y="0"/>
                </a:lnTo>
                <a:lnTo>
                  <a:pt x="34" y="0"/>
                </a:lnTo>
                <a:lnTo>
                  <a:pt x="38" y="0"/>
                </a:lnTo>
                <a:lnTo>
                  <a:pt x="32" y="0"/>
                </a:lnTo>
                <a:lnTo>
                  <a:pt x="25" y="0"/>
                </a:lnTo>
                <a:lnTo>
                  <a:pt x="17" y="0"/>
                </a:lnTo>
                <a:lnTo>
                  <a:pt x="0" y="0"/>
                </a:lnTo>
                <a:lnTo>
                  <a:pt x="6" y="0"/>
                </a:lnTo>
              </a:path>
            </a:pathLst>
          </a:custGeom>
          <a:solidFill>
            <a:srgbClr val="A0C1E8"/>
          </a:solidFill>
          <a:ln w="3175">
            <a:solidFill>
              <a:srgbClr val="A0C1E8"/>
            </a:solidFill>
            <a:round/>
            <a:headEnd/>
            <a:tailEnd/>
          </a:ln>
        </xdr:spPr>
      </xdr:sp>
      <xdr:sp macro="" textlink="">
        <xdr:nvSpPr>
          <xdr:cNvPr id="25701" name="S_DNK3"/>
          <xdr:cNvSpPr>
            <a:spLocks noChangeAspect="1"/>
          </xdr:cNvSpPr>
        </xdr:nvSpPr>
        <xdr:spPr bwMode="auto">
          <a:xfrm>
            <a:off x="251" y="407"/>
            <a:ext cx="1" cy="9"/>
          </a:xfrm>
          <a:custGeom>
            <a:avLst/>
            <a:gdLst>
              <a:gd name="T0" fmla="*/ 0 w 9"/>
              <a:gd name="T1" fmla="*/ 0 h 54"/>
              <a:gd name="T2" fmla="*/ 1 w 9"/>
              <a:gd name="T3" fmla="*/ 1 h 54"/>
              <a:gd name="T4" fmla="*/ 1 w 9"/>
              <a:gd name="T5" fmla="*/ 4 h 54"/>
              <a:gd name="T6" fmla="*/ 1 w 9"/>
              <a:gd name="T7" fmla="*/ 6 h 54"/>
              <a:gd name="T8" fmla="*/ 1 w 9"/>
              <a:gd name="T9" fmla="*/ 5 h 54"/>
              <a:gd name="T10" fmla="*/ 1 w 9"/>
              <a:gd name="T11" fmla="*/ 9 h 54"/>
              <a:gd name="T12" fmla="*/ 0 w 9"/>
              <a:gd name="T13" fmla="*/ 9 h 54"/>
              <a:gd name="T14" fmla="*/ 1 w 9"/>
              <a:gd name="T15" fmla="*/ 6 h 54"/>
              <a:gd name="T16" fmla="*/ 0 w 9"/>
              <a:gd name="T17" fmla="*/ 5 h 54"/>
              <a:gd name="T18" fmla="*/ 0 w 9"/>
              <a:gd name="T19" fmla="*/ 3 h 54"/>
              <a:gd name="T20" fmla="*/ 0 w 9"/>
              <a:gd name="T21" fmla="*/ 0 h 54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9"/>
              <a:gd name="T34" fmla="*/ 0 h 54"/>
              <a:gd name="T35" fmla="*/ 9 w 9"/>
              <a:gd name="T36" fmla="*/ 54 h 54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9" h="54">
                <a:moveTo>
                  <a:pt x="0" y="0"/>
                </a:moveTo>
                <a:lnTo>
                  <a:pt x="6" y="7"/>
                </a:lnTo>
                <a:lnTo>
                  <a:pt x="6" y="24"/>
                </a:lnTo>
                <a:lnTo>
                  <a:pt x="6" y="34"/>
                </a:lnTo>
                <a:lnTo>
                  <a:pt x="8" y="31"/>
                </a:lnTo>
                <a:lnTo>
                  <a:pt x="6" y="53"/>
                </a:lnTo>
                <a:lnTo>
                  <a:pt x="4" y="53"/>
                </a:lnTo>
                <a:lnTo>
                  <a:pt x="5" y="36"/>
                </a:lnTo>
                <a:lnTo>
                  <a:pt x="2" y="29"/>
                </a:lnTo>
                <a:lnTo>
                  <a:pt x="0" y="19"/>
                </a:lnTo>
                <a:lnTo>
                  <a:pt x="0" y="0"/>
                </a:lnTo>
              </a:path>
            </a:pathLst>
          </a:custGeom>
          <a:solidFill>
            <a:srgbClr val="A0C1E8"/>
          </a:solidFill>
          <a:ln w="3175">
            <a:solidFill>
              <a:srgbClr val="A0C1E8"/>
            </a:solidFill>
            <a:round/>
            <a:headEnd/>
            <a:tailEnd/>
          </a:ln>
        </xdr:spPr>
      </xdr:sp>
      <xdr:sp macro="" textlink="">
        <xdr:nvSpPr>
          <xdr:cNvPr id="25702" name="S_DNK1"/>
          <xdr:cNvSpPr>
            <a:spLocks noChangeAspect="1"/>
          </xdr:cNvSpPr>
        </xdr:nvSpPr>
        <xdr:spPr bwMode="auto">
          <a:xfrm>
            <a:off x="251" y="368"/>
            <a:ext cx="19" cy="49"/>
          </a:xfrm>
          <a:custGeom>
            <a:avLst/>
            <a:gdLst>
              <a:gd name="T0" fmla="*/ 5 w 112"/>
              <a:gd name="T1" fmla="*/ 49 h 298"/>
              <a:gd name="T2" fmla="*/ 4 w 112"/>
              <a:gd name="T3" fmla="*/ 44 h 298"/>
              <a:gd name="T4" fmla="*/ 4 w 112"/>
              <a:gd name="T5" fmla="*/ 40 h 298"/>
              <a:gd name="T6" fmla="*/ 3 w 112"/>
              <a:gd name="T7" fmla="*/ 36 h 298"/>
              <a:gd name="T8" fmla="*/ 1 w 112"/>
              <a:gd name="T9" fmla="*/ 38 h 298"/>
              <a:gd name="T10" fmla="*/ 1 w 112"/>
              <a:gd name="T11" fmla="*/ 32 h 298"/>
              <a:gd name="T12" fmla="*/ 2 w 112"/>
              <a:gd name="T13" fmla="*/ 31 h 298"/>
              <a:gd name="T14" fmla="*/ 2 w 112"/>
              <a:gd name="T15" fmla="*/ 27 h 298"/>
              <a:gd name="T16" fmla="*/ 0 w 112"/>
              <a:gd name="T17" fmla="*/ 27 h 298"/>
              <a:gd name="T18" fmla="*/ 0 w 112"/>
              <a:gd name="T19" fmla="*/ 24 h 298"/>
              <a:gd name="T20" fmla="*/ 2 w 112"/>
              <a:gd name="T21" fmla="*/ 23 h 298"/>
              <a:gd name="T22" fmla="*/ 0 w 112"/>
              <a:gd name="T23" fmla="*/ 22 h 298"/>
              <a:gd name="T24" fmla="*/ 0 w 112"/>
              <a:gd name="T25" fmla="*/ 19 h 298"/>
              <a:gd name="T26" fmla="*/ 2 w 112"/>
              <a:gd name="T27" fmla="*/ 21 h 298"/>
              <a:gd name="T28" fmla="*/ 3 w 112"/>
              <a:gd name="T29" fmla="*/ 18 h 298"/>
              <a:gd name="T30" fmla="*/ 1 w 112"/>
              <a:gd name="T31" fmla="*/ 17 h 298"/>
              <a:gd name="T32" fmla="*/ 1 w 112"/>
              <a:gd name="T33" fmla="*/ 15 h 298"/>
              <a:gd name="T34" fmla="*/ 4 w 112"/>
              <a:gd name="T35" fmla="*/ 12 h 298"/>
              <a:gd name="T36" fmla="*/ 11 w 112"/>
              <a:gd name="T37" fmla="*/ 9 h 298"/>
              <a:gd name="T38" fmla="*/ 14 w 112"/>
              <a:gd name="T39" fmla="*/ 0 h 298"/>
              <a:gd name="T40" fmla="*/ 16 w 112"/>
              <a:gd name="T41" fmla="*/ 0 h 298"/>
              <a:gd name="T42" fmla="*/ 17 w 112"/>
              <a:gd name="T43" fmla="*/ 3 h 298"/>
              <a:gd name="T44" fmla="*/ 17 w 112"/>
              <a:gd name="T45" fmla="*/ 4 h 298"/>
              <a:gd name="T46" fmla="*/ 18 w 112"/>
              <a:gd name="T47" fmla="*/ 7 h 298"/>
              <a:gd name="T48" fmla="*/ 17 w 112"/>
              <a:gd name="T49" fmla="*/ 11 h 298"/>
              <a:gd name="T50" fmla="*/ 14 w 112"/>
              <a:gd name="T51" fmla="*/ 10 h 298"/>
              <a:gd name="T52" fmla="*/ 13 w 112"/>
              <a:gd name="T53" fmla="*/ 12 h 298"/>
              <a:gd name="T54" fmla="*/ 15 w 112"/>
              <a:gd name="T55" fmla="*/ 13 h 298"/>
              <a:gd name="T56" fmla="*/ 16 w 112"/>
              <a:gd name="T57" fmla="*/ 18 h 298"/>
              <a:gd name="T58" fmla="*/ 17 w 112"/>
              <a:gd name="T59" fmla="*/ 21 h 298"/>
              <a:gd name="T60" fmla="*/ 19 w 112"/>
              <a:gd name="T61" fmla="*/ 21 h 298"/>
              <a:gd name="T62" fmla="*/ 18 w 112"/>
              <a:gd name="T63" fmla="*/ 23 h 298"/>
              <a:gd name="T64" fmla="*/ 17 w 112"/>
              <a:gd name="T65" fmla="*/ 27 h 298"/>
              <a:gd name="T66" fmla="*/ 14 w 112"/>
              <a:gd name="T67" fmla="*/ 26 h 298"/>
              <a:gd name="T68" fmla="*/ 14 w 112"/>
              <a:gd name="T69" fmla="*/ 29 h 298"/>
              <a:gd name="T70" fmla="*/ 15 w 112"/>
              <a:gd name="T71" fmla="*/ 32 h 298"/>
              <a:gd name="T72" fmla="*/ 12 w 112"/>
              <a:gd name="T73" fmla="*/ 34 h 298"/>
              <a:gd name="T74" fmla="*/ 13 w 112"/>
              <a:gd name="T75" fmla="*/ 35 h 298"/>
              <a:gd name="T76" fmla="*/ 13 w 112"/>
              <a:gd name="T77" fmla="*/ 40 h 298"/>
              <a:gd name="T78" fmla="*/ 11 w 112"/>
              <a:gd name="T79" fmla="*/ 42 h 298"/>
              <a:gd name="T80" fmla="*/ 13 w 112"/>
              <a:gd name="T81" fmla="*/ 46 h 298"/>
              <a:gd name="T82" fmla="*/ 4 w 112"/>
              <a:gd name="T83" fmla="*/ 48 h 298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w 112"/>
              <a:gd name="T127" fmla="*/ 0 h 298"/>
              <a:gd name="T128" fmla="*/ 112 w 112"/>
              <a:gd name="T129" fmla="*/ 298 h 298"/>
            </a:gdLst>
            <a:ahLst/>
            <a:cxnLst>
              <a:cxn ang="T84">
                <a:pos x="T0" y="T1"/>
              </a:cxn>
              <a:cxn ang="T85">
                <a:pos x="T2" y="T3"/>
              </a:cxn>
              <a:cxn ang="T86">
                <a:pos x="T4" y="T5"/>
              </a:cxn>
              <a:cxn ang="T87">
                <a:pos x="T6" y="T7"/>
              </a:cxn>
              <a:cxn ang="T88">
                <a:pos x="T8" y="T9"/>
              </a:cxn>
              <a:cxn ang="T89">
                <a:pos x="T10" y="T11"/>
              </a:cxn>
              <a:cxn ang="T90">
                <a:pos x="T12" y="T13"/>
              </a:cxn>
              <a:cxn ang="T91">
                <a:pos x="T14" y="T15"/>
              </a:cxn>
              <a:cxn ang="T92">
                <a:pos x="T16" y="T17"/>
              </a:cxn>
              <a:cxn ang="T93">
                <a:pos x="T18" y="T19"/>
              </a:cxn>
              <a:cxn ang="T94">
                <a:pos x="T20" y="T21"/>
              </a:cxn>
              <a:cxn ang="T95">
                <a:pos x="T22" y="T23"/>
              </a:cxn>
              <a:cxn ang="T96">
                <a:pos x="T24" y="T25"/>
              </a:cxn>
              <a:cxn ang="T97">
                <a:pos x="T26" y="T27"/>
              </a:cxn>
              <a:cxn ang="T98">
                <a:pos x="T28" y="T29"/>
              </a:cxn>
              <a:cxn ang="T99">
                <a:pos x="T30" y="T31"/>
              </a:cxn>
              <a:cxn ang="T100">
                <a:pos x="T32" y="T33"/>
              </a:cxn>
              <a:cxn ang="T101">
                <a:pos x="T34" y="T35"/>
              </a:cxn>
              <a:cxn ang="T102">
                <a:pos x="T36" y="T37"/>
              </a:cxn>
              <a:cxn ang="T103">
                <a:pos x="T38" y="T39"/>
              </a:cxn>
              <a:cxn ang="T104">
                <a:pos x="T40" y="T41"/>
              </a:cxn>
              <a:cxn ang="T105">
                <a:pos x="T42" y="T43"/>
              </a:cxn>
              <a:cxn ang="T106">
                <a:pos x="T44" y="T45"/>
              </a:cxn>
              <a:cxn ang="T107">
                <a:pos x="T46" y="T47"/>
              </a:cxn>
              <a:cxn ang="T108">
                <a:pos x="T48" y="T49"/>
              </a:cxn>
              <a:cxn ang="T109">
                <a:pos x="T50" y="T51"/>
              </a:cxn>
              <a:cxn ang="T110">
                <a:pos x="T52" y="T53"/>
              </a:cxn>
              <a:cxn ang="T111">
                <a:pos x="T54" y="T55"/>
              </a:cxn>
              <a:cxn ang="T112">
                <a:pos x="T56" y="T57"/>
              </a:cxn>
              <a:cxn ang="T113">
                <a:pos x="T58" y="T59"/>
              </a:cxn>
              <a:cxn ang="T114">
                <a:pos x="T60" y="T61"/>
              </a:cxn>
              <a:cxn ang="T115">
                <a:pos x="T62" y="T63"/>
              </a:cxn>
              <a:cxn ang="T116">
                <a:pos x="T64" y="T65"/>
              </a:cxn>
              <a:cxn ang="T117">
                <a:pos x="T66" y="T67"/>
              </a:cxn>
              <a:cxn ang="T118">
                <a:pos x="T68" y="T69"/>
              </a:cxn>
              <a:cxn ang="T119">
                <a:pos x="T70" y="T71"/>
              </a:cxn>
              <a:cxn ang="T120">
                <a:pos x="T72" y="T73"/>
              </a:cxn>
              <a:cxn ang="T121">
                <a:pos x="T74" y="T75"/>
              </a:cxn>
              <a:cxn ang="T122">
                <a:pos x="T76" y="T77"/>
              </a:cxn>
              <a:cxn ang="T123">
                <a:pos x="T78" y="T79"/>
              </a:cxn>
              <a:cxn ang="T124">
                <a:pos x="T80" y="T81"/>
              </a:cxn>
              <a:cxn ang="T125">
                <a:pos x="T82" y="T83"/>
              </a:cxn>
            </a:cxnLst>
            <a:rect l="T126" t="T127" r="T128" b="T129"/>
            <a:pathLst>
              <a:path w="112" h="298">
                <a:moveTo>
                  <a:pt x="31" y="298"/>
                </a:moveTo>
                <a:lnTo>
                  <a:pt x="21" y="270"/>
                </a:lnTo>
                <a:lnTo>
                  <a:pt x="25" y="243"/>
                </a:lnTo>
                <a:lnTo>
                  <a:pt x="18" y="218"/>
                </a:lnTo>
                <a:lnTo>
                  <a:pt x="4" y="229"/>
                </a:lnTo>
                <a:lnTo>
                  <a:pt x="4" y="197"/>
                </a:lnTo>
                <a:lnTo>
                  <a:pt x="14" y="187"/>
                </a:lnTo>
                <a:lnTo>
                  <a:pt x="11" y="166"/>
                </a:lnTo>
                <a:lnTo>
                  <a:pt x="0" y="163"/>
                </a:lnTo>
                <a:lnTo>
                  <a:pt x="0" y="146"/>
                </a:lnTo>
                <a:lnTo>
                  <a:pt x="14" y="142"/>
                </a:lnTo>
                <a:lnTo>
                  <a:pt x="0" y="132"/>
                </a:lnTo>
                <a:lnTo>
                  <a:pt x="0" y="114"/>
                </a:lnTo>
                <a:lnTo>
                  <a:pt x="14" y="125"/>
                </a:lnTo>
                <a:lnTo>
                  <a:pt x="18" y="111"/>
                </a:lnTo>
                <a:lnTo>
                  <a:pt x="4" y="104"/>
                </a:lnTo>
                <a:lnTo>
                  <a:pt x="7" y="90"/>
                </a:lnTo>
                <a:lnTo>
                  <a:pt x="21" y="73"/>
                </a:lnTo>
                <a:lnTo>
                  <a:pt x="63" y="55"/>
                </a:lnTo>
                <a:lnTo>
                  <a:pt x="81" y="3"/>
                </a:lnTo>
                <a:lnTo>
                  <a:pt x="95" y="0"/>
                </a:lnTo>
                <a:lnTo>
                  <a:pt x="102" y="17"/>
                </a:lnTo>
                <a:lnTo>
                  <a:pt x="98" y="24"/>
                </a:lnTo>
                <a:lnTo>
                  <a:pt x="105" y="45"/>
                </a:lnTo>
                <a:lnTo>
                  <a:pt x="98" y="69"/>
                </a:lnTo>
                <a:lnTo>
                  <a:pt x="81" y="62"/>
                </a:lnTo>
                <a:lnTo>
                  <a:pt x="74" y="76"/>
                </a:lnTo>
                <a:lnTo>
                  <a:pt x="88" y="80"/>
                </a:lnTo>
                <a:lnTo>
                  <a:pt x="95" y="107"/>
                </a:lnTo>
                <a:lnTo>
                  <a:pt x="102" y="125"/>
                </a:lnTo>
                <a:lnTo>
                  <a:pt x="112" y="125"/>
                </a:lnTo>
                <a:lnTo>
                  <a:pt x="109" y="142"/>
                </a:lnTo>
                <a:lnTo>
                  <a:pt x="102" y="163"/>
                </a:lnTo>
                <a:lnTo>
                  <a:pt x="81" y="156"/>
                </a:lnTo>
                <a:lnTo>
                  <a:pt x="81" y="177"/>
                </a:lnTo>
                <a:lnTo>
                  <a:pt x="88" y="197"/>
                </a:lnTo>
                <a:lnTo>
                  <a:pt x="70" y="204"/>
                </a:lnTo>
                <a:lnTo>
                  <a:pt x="74" y="215"/>
                </a:lnTo>
                <a:lnTo>
                  <a:pt x="74" y="246"/>
                </a:lnTo>
                <a:lnTo>
                  <a:pt x="63" y="256"/>
                </a:lnTo>
                <a:lnTo>
                  <a:pt x="77" y="281"/>
                </a:lnTo>
                <a:lnTo>
                  <a:pt x="25" y="291"/>
                </a:lnTo>
              </a:path>
            </a:pathLst>
          </a:custGeom>
          <a:solidFill>
            <a:srgbClr val="A0C1E8"/>
          </a:solidFill>
          <a:ln w="3175">
            <a:solidFill>
              <a:srgbClr val="A0C1E8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142875</xdr:colOff>
      <xdr:row>18</xdr:row>
      <xdr:rowOff>123825</xdr:rowOff>
    </xdr:from>
    <xdr:to>
      <xdr:col>3</xdr:col>
      <xdr:colOff>295275</xdr:colOff>
      <xdr:row>27</xdr:row>
      <xdr:rowOff>28575</xdr:rowOff>
    </xdr:to>
    <xdr:grpSp>
      <xdr:nvGrpSpPr>
        <xdr:cNvPr id="25665" name="S_GBR"/>
        <xdr:cNvGrpSpPr>
          <a:grpSpLocks/>
        </xdr:cNvGrpSpPr>
      </xdr:nvGrpSpPr>
      <xdr:grpSpPr bwMode="auto">
        <a:xfrm>
          <a:off x="971550" y="3476625"/>
          <a:ext cx="866775" cy="1362075"/>
          <a:chOff x="971550" y="3048000"/>
          <a:chExt cx="866775" cy="1362075"/>
        </a:xfrm>
      </xdr:grpSpPr>
      <xdr:sp macro="" textlink="">
        <xdr:nvSpPr>
          <xdr:cNvPr id="25695" name="S_GBR5"/>
          <xdr:cNvSpPr>
            <a:spLocks noChangeAspect="1"/>
          </xdr:cNvSpPr>
        </xdr:nvSpPr>
        <xdr:spPr bwMode="auto">
          <a:xfrm>
            <a:off x="1123950" y="3305175"/>
            <a:ext cx="19050" cy="66675"/>
          </a:xfrm>
          <a:custGeom>
            <a:avLst/>
            <a:gdLst>
              <a:gd name="T0" fmla="*/ 17585 w 13"/>
              <a:gd name="T1" fmla="*/ 42740 h 39"/>
              <a:gd name="T2" fmla="*/ 13188 w 13"/>
              <a:gd name="T3" fmla="*/ 64965 h 39"/>
              <a:gd name="T4" fmla="*/ 4396 w 13"/>
              <a:gd name="T5" fmla="*/ 58127 h 39"/>
              <a:gd name="T6" fmla="*/ 7327 w 13"/>
              <a:gd name="T7" fmla="*/ 35902 h 39"/>
              <a:gd name="T8" fmla="*/ 0 w 13"/>
              <a:gd name="T9" fmla="*/ 35902 h 39"/>
              <a:gd name="T10" fmla="*/ 2931 w 13"/>
              <a:gd name="T11" fmla="*/ 10258 h 39"/>
              <a:gd name="T12" fmla="*/ 7327 w 13"/>
              <a:gd name="T13" fmla="*/ 0 h 39"/>
              <a:gd name="T14" fmla="*/ 14654 w 13"/>
              <a:gd name="T15" fmla="*/ 10258 h 39"/>
              <a:gd name="T16" fmla="*/ 11723 w 13"/>
              <a:gd name="T17" fmla="*/ 25644 h 39"/>
              <a:gd name="T18" fmla="*/ 17585 w 13"/>
              <a:gd name="T19" fmla="*/ 42740 h 39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w 13"/>
              <a:gd name="T31" fmla="*/ 0 h 39"/>
              <a:gd name="T32" fmla="*/ 13 w 13"/>
              <a:gd name="T33" fmla="*/ 39 h 39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T30" t="T31" r="T32" b="T33"/>
            <a:pathLst>
              <a:path w="13" h="39">
                <a:moveTo>
                  <a:pt x="12" y="25"/>
                </a:moveTo>
                <a:lnTo>
                  <a:pt x="9" y="38"/>
                </a:lnTo>
                <a:lnTo>
                  <a:pt x="3" y="34"/>
                </a:lnTo>
                <a:lnTo>
                  <a:pt x="5" y="21"/>
                </a:lnTo>
                <a:lnTo>
                  <a:pt x="0" y="21"/>
                </a:lnTo>
                <a:lnTo>
                  <a:pt x="2" y="6"/>
                </a:lnTo>
                <a:lnTo>
                  <a:pt x="5" y="0"/>
                </a:lnTo>
                <a:lnTo>
                  <a:pt x="10" y="6"/>
                </a:lnTo>
                <a:lnTo>
                  <a:pt x="8" y="15"/>
                </a:lnTo>
                <a:lnTo>
                  <a:pt x="12" y="25"/>
                </a:lnTo>
              </a:path>
            </a:pathLst>
          </a:custGeom>
          <a:solidFill>
            <a:srgbClr val="2B4C74"/>
          </a:solidFill>
          <a:ln w="3175">
            <a:solidFill>
              <a:srgbClr val="2B4C74"/>
            </a:solidFill>
            <a:round/>
            <a:headEnd/>
            <a:tailEnd/>
          </a:ln>
        </xdr:spPr>
      </xdr:sp>
      <xdr:sp macro="" textlink="">
        <xdr:nvSpPr>
          <xdr:cNvPr id="25696" name="S_GBR4"/>
          <xdr:cNvSpPr>
            <a:spLocks noChangeAspect="1"/>
          </xdr:cNvSpPr>
        </xdr:nvSpPr>
        <xdr:spPr bwMode="auto">
          <a:xfrm>
            <a:off x="1419225" y="3048000"/>
            <a:ext cx="19050" cy="38100"/>
          </a:xfrm>
          <a:custGeom>
            <a:avLst/>
            <a:gdLst>
              <a:gd name="T0" fmla="*/ 0 w 14"/>
              <a:gd name="T1" fmla="*/ 8659 h 22"/>
              <a:gd name="T2" fmla="*/ 12246 w 14"/>
              <a:gd name="T3" fmla="*/ 0 h 22"/>
              <a:gd name="T4" fmla="*/ 10886 w 14"/>
              <a:gd name="T5" fmla="*/ 13855 h 22"/>
              <a:gd name="T6" fmla="*/ 17689 w 14"/>
              <a:gd name="T7" fmla="*/ 15586 h 22"/>
              <a:gd name="T8" fmla="*/ 12246 w 14"/>
              <a:gd name="T9" fmla="*/ 36368 h 22"/>
              <a:gd name="T10" fmla="*/ 8164 w 14"/>
              <a:gd name="T11" fmla="*/ 20782 h 22"/>
              <a:gd name="T12" fmla="*/ 5443 w 14"/>
              <a:gd name="T13" fmla="*/ 34636 h 22"/>
              <a:gd name="T14" fmla="*/ 0 w 14"/>
              <a:gd name="T15" fmla="*/ 29441 h 22"/>
              <a:gd name="T16" fmla="*/ 0 w 14"/>
              <a:gd name="T17" fmla="*/ 8659 h 22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14"/>
              <a:gd name="T28" fmla="*/ 0 h 22"/>
              <a:gd name="T29" fmla="*/ 14 w 14"/>
              <a:gd name="T30" fmla="*/ 22 h 22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14" h="22">
                <a:moveTo>
                  <a:pt x="0" y="5"/>
                </a:moveTo>
                <a:lnTo>
                  <a:pt x="9" y="0"/>
                </a:lnTo>
                <a:lnTo>
                  <a:pt x="8" y="8"/>
                </a:lnTo>
                <a:lnTo>
                  <a:pt x="13" y="9"/>
                </a:lnTo>
                <a:lnTo>
                  <a:pt x="9" y="21"/>
                </a:lnTo>
                <a:lnTo>
                  <a:pt x="6" y="12"/>
                </a:lnTo>
                <a:lnTo>
                  <a:pt x="4" y="20"/>
                </a:lnTo>
                <a:lnTo>
                  <a:pt x="0" y="17"/>
                </a:lnTo>
                <a:lnTo>
                  <a:pt x="0" y="5"/>
                </a:lnTo>
              </a:path>
            </a:pathLst>
          </a:custGeom>
          <a:solidFill>
            <a:srgbClr val="2B4C74"/>
          </a:solidFill>
          <a:ln w="3175">
            <a:solidFill>
              <a:srgbClr val="2B4C74"/>
            </a:solidFill>
            <a:round/>
            <a:headEnd/>
            <a:tailEnd/>
          </a:ln>
        </xdr:spPr>
      </xdr:sp>
      <xdr:sp macro="" textlink="">
        <xdr:nvSpPr>
          <xdr:cNvPr id="25697" name="S_GBR3"/>
          <xdr:cNvSpPr>
            <a:spLocks noChangeAspect="1"/>
          </xdr:cNvSpPr>
        </xdr:nvSpPr>
        <xdr:spPr bwMode="auto">
          <a:xfrm>
            <a:off x="1066800" y="3152775"/>
            <a:ext cx="57150" cy="228600"/>
          </a:xfrm>
          <a:custGeom>
            <a:avLst/>
            <a:gdLst>
              <a:gd name="T0" fmla="*/ 0 w 38"/>
              <a:gd name="T1" fmla="*/ 227034 h 146"/>
              <a:gd name="T2" fmla="*/ 12032 w 38"/>
              <a:gd name="T3" fmla="*/ 148747 h 146"/>
              <a:gd name="T4" fmla="*/ 3008 w 38"/>
              <a:gd name="T5" fmla="*/ 128392 h 146"/>
              <a:gd name="T6" fmla="*/ 21055 w 38"/>
              <a:gd name="T7" fmla="*/ 114300 h 146"/>
              <a:gd name="T8" fmla="*/ 28575 w 38"/>
              <a:gd name="T9" fmla="*/ 43841 h 146"/>
              <a:gd name="T10" fmla="*/ 49630 w 38"/>
              <a:gd name="T11" fmla="*/ 0 h 146"/>
              <a:gd name="T12" fmla="*/ 55646 w 38"/>
              <a:gd name="T13" fmla="*/ 43841 h 146"/>
              <a:gd name="T14" fmla="*/ 46622 w 38"/>
              <a:gd name="T15" fmla="*/ 73590 h 146"/>
              <a:gd name="T16" fmla="*/ 37599 w 38"/>
              <a:gd name="T17" fmla="*/ 73590 h 146"/>
              <a:gd name="T18" fmla="*/ 21055 w 38"/>
              <a:gd name="T19" fmla="*/ 89248 h 146"/>
              <a:gd name="T20" fmla="*/ 28575 w 38"/>
              <a:gd name="T21" fmla="*/ 118997 h 146"/>
              <a:gd name="T22" fmla="*/ 9024 w 38"/>
              <a:gd name="T23" fmla="*/ 212942 h 146"/>
              <a:gd name="T24" fmla="*/ 0 w 38"/>
              <a:gd name="T25" fmla="*/ 227034 h 14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w 38"/>
              <a:gd name="T40" fmla="*/ 0 h 146"/>
              <a:gd name="T41" fmla="*/ 38 w 38"/>
              <a:gd name="T42" fmla="*/ 146 h 146"/>
            </a:gdLst>
            <a:ahLst/>
            <a:cxnLst>
              <a:cxn ang="T26">
                <a:pos x="T0" y="T1"/>
              </a:cxn>
              <a:cxn ang="T27">
                <a:pos x="T2" y="T3"/>
              </a:cxn>
              <a:cxn ang="T28">
                <a:pos x="T4" y="T5"/>
              </a:cxn>
              <a:cxn ang="T29">
                <a:pos x="T6" y="T7"/>
              </a:cxn>
              <a:cxn ang="T30">
                <a:pos x="T8" y="T9"/>
              </a:cxn>
              <a:cxn ang="T31">
                <a:pos x="T10" y="T11"/>
              </a:cxn>
              <a:cxn ang="T32">
                <a:pos x="T12" y="T13"/>
              </a:cxn>
              <a:cxn ang="T33">
                <a:pos x="T14" y="T15"/>
              </a:cxn>
              <a:cxn ang="T34">
                <a:pos x="T16" y="T17"/>
              </a:cxn>
              <a:cxn ang="T35">
                <a:pos x="T18" y="T19"/>
              </a:cxn>
              <a:cxn ang="T36">
                <a:pos x="T20" y="T21"/>
              </a:cxn>
              <a:cxn ang="T37">
                <a:pos x="T22" y="T23"/>
              </a:cxn>
              <a:cxn ang="T38">
                <a:pos x="T24" y="T25"/>
              </a:cxn>
            </a:cxnLst>
            <a:rect l="T39" t="T40" r="T41" b="T42"/>
            <a:pathLst>
              <a:path w="38" h="146">
                <a:moveTo>
                  <a:pt x="0" y="145"/>
                </a:moveTo>
                <a:lnTo>
                  <a:pt x="8" y="95"/>
                </a:lnTo>
                <a:lnTo>
                  <a:pt x="2" y="82"/>
                </a:lnTo>
                <a:lnTo>
                  <a:pt x="14" y="73"/>
                </a:lnTo>
                <a:lnTo>
                  <a:pt x="19" y="28"/>
                </a:lnTo>
                <a:lnTo>
                  <a:pt x="33" y="0"/>
                </a:lnTo>
                <a:lnTo>
                  <a:pt x="37" y="28"/>
                </a:lnTo>
                <a:lnTo>
                  <a:pt x="31" y="47"/>
                </a:lnTo>
                <a:lnTo>
                  <a:pt x="25" y="47"/>
                </a:lnTo>
                <a:lnTo>
                  <a:pt x="14" y="57"/>
                </a:lnTo>
                <a:lnTo>
                  <a:pt x="19" y="76"/>
                </a:lnTo>
                <a:lnTo>
                  <a:pt x="6" y="136"/>
                </a:lnTo>
                <a:lnTo>
                  <a:pt x="0" y="145"/>
                </a:lnTo>
              </a:path>
            </a:pathLst>
          </a:custGeom>
          <a:solidFill>
            <a:srgbClr val="2B4C74"/>
          </a:solidFill>
          <a:ln w="3175">
            <a:solidFill>
              <a:srgbClr val="2B4C74"/>
            </a:solidFill>
            <a:round/>
            <a:headEnd/>
            <a:tailEnd/>
          </a:ln>
        </xdr:spPr>
      </xdr:sp>
      <xdr:sp macro="" textlink="">
        <xdr:nvSpPr>
          <xdr:cNvPr id="25698" name="S_GBR2"/>
          <xdr:cNvSpPr>
            <a:spLocks noChangeAspect="1"/>
          </xdr:cNvSpPr>
        </xdr:nvSpPr>
        <xdr:spPr bwMode="auto">
          <a:xfrm>
            <a:off x="1162050" y="3133725"/>
            <a:ext cx="676275" cy="1276350"/>
          </a:xfrm>
          <a:custGeom>
            <a:avLst/>
            <a:gdLst>
              <a:gd name="T0" fmla="*/ 201779 w 429"/>
              <a:gd name="T1" fmla="*/ 160322 h 820"/>
              <a:gd name="T2" fmla="*/ 201779 w 429"/>
              <a:gd name="T3" fmla="*/ 172774 h 820"/>
              <a:gd name="T4" fmla="*/ 387794 w 429"/>
              <a:gd name="T5" fmla="*/ 160322 h 820"/>
              <a:gd name="T6" fmla="*/ 315280 w 429"/>
              <a:gd name="T7" fmla="*/ 333096 h 820"/>
              <a:gd name="T8" fmla="*/ 331044 w 429"/>
              <a:gd name="T9" fmla="*/ 401583 h 820"/>
              <a:gd name="T10" fmla="*/ 320009 w 429"/>
              <a:gd name="T11" fmla="*/ 424931 h 820"/>
              <a:gd name="T12" fmla="*/ 409864 w 429"/>
              <a:gd name="T13" fmla="*/ 574358 h 820"/>
              <a:gd name="T14" fmla="*/ 483954 w 429"/>
              <a:gd name="T15" fmla="*/ 649071 h 820"/>
              <a:gd name="T16" fmla="*/ 545434 w 429"/>
              <a:gd name="T17" fmla="*/ 809393 h 820"/>
              <a:gd name="T18" fmla="*/ 562774 w 429"/>
              <a:gd name="T19" fmla="*/ 860758 h 820"/>
              <a:gd name="T20" fmla="*/ 674699 w 429"/>
              <a:gd name="T21" fmla="*/ 958819 h 820"/>
              <a:gd name="T22" fmla="*/ 573809 w 429"/>
              <a:gd name="T23" fmla="*/ 1044428 h 820"/>
              <a:gd name="T24" fmla="*/ 646323 w 429"/>
              <a:gd name="T25" fmla="*/ 1097350 h 820"/>
              <a:gd name="T26" fmla="*/ 523364 w 429"/>
              <a:gd name="T27" fmla="*/ 1148715 h 820"/>
              <a:gd name="T28" fmla="*/ 422475 w 429"/>
              <a:gd name="T29" fmla="*/ 1189185 h 820"/>
              <a:gd name="T30" fmla="*/ 370454 w 429"/>
              <a:gd name="T31" fmla="*/ 1176732 h 820"/>
              <a:gd name="T32" fmla="*/ 308974 w 429"/>
              <a:gd name="T33" fmla="*/ 1165837 h 820"/>
              <a:gd name="T34" fmla="*/ 174980 w 429"/>
              <a:gd name="T35" fmla="*/ 1217202 h 820"/>
              <a:gd name="T36" fmla="*/ 89855 w 429"/>
              <a:gd name="T37" fmla="*/ 1251446 h 820"/>
              <a:gd name="T38" fmla="*/ 61480 w 429"/>
              <a:gd name="T39" fmla="*/ 1228098 h 820"/>
              <a:gd name="T40" fmla="*/ 151334 w 429"/>
              <a:gd name="T41" fmla="*/ 1165837 h 820"/>
              <a:gd name="T42" fmla="*/ 253800 w 429"/>
              <a:gd name="T43" fmla="*/ 1091124 h 820"/>
              <a:gd name="T44" fmla="*/ 253800 w 429"/>
              <a:gd name="T45" fmla="*/ 1056880 h 820"/>
              <a:gd name="T46" fmla="*/ 168675 w 429"/>
              <a:gd name="T47" fmla="*/ 1010184 h 820"/>
              <a:gd name="T48" fmla="*/ 186015 w 429"/>
              <a:gd name="T49" fmla="*/ 965045 h 820"/>
              <a:gd name="T50" fmla="*/ 225425 w 429"/>
              <a:gd name="T51" fmla="*/ 856089 h 820"/>
              <a:gd name="T52" fmla="*/ 179709 w 429"/>
              <a:gd name="T53" fmla="*/ 832741 h 820"/>
              <a:gd name="T54" fmla="*/ 190744 w 429"/>
              <a:gd name="T55" fmla="*/ 803167 h 820"/>
              <a:gd name="T56" fmla="*/ 275870 w 429"/>
              <a:gd name="T57" fmla="*/ 730010 h 820"/>
              <a:gd name="T58" fmla="*/ 258529 w 429"/>
              <a:gd name="T59" fmla="*/ 706662 h 820"/>
              <a:gd name="T60" fmla="*/ 291634 w 429"/>
              <a:gd name="T61" fmla="*/ 591479 h 820"/>
              <a:gd name="T62" fmla="*/ 174980 w 429"/>
              <a:gd name="T63" fmla="*/ 597705 h 820"/>
              <a:gd name="T64" fmla="*/ 135570 w 429"/>
              <a:gd name="T65" fmla="*/ 614827 h 820"/>
              <a:gd name="T66" fmla="*/ 140299 w 429"/>
              <a:gd name="T67" fmla="*/ 527662 h 820"/>
              <a:gd name="T68" fmla="*/ 100890 w 429"/>
              <a:gd name="T69" fmla="*/ 435827 h 820"/>
              <a:gd name="T70" fmla="*/ 85126 w 429"/>
              <a:gd name="T71" fmla="*/ 476297 h 820"/>
              <a:gd name="T72" fmla="*/ 56750 w 429"/>
              <a:gd name="T73" fmla="*/ 476297 h 820"/>
              <a:gd name="T74" fmla="*/ 33104 w 429"/>
              <a:gd name="T75" fmla="*/ 414036 h 820"/>
              <a:gd name="T76" fmla="*/ 100890 w 429"/>
              <a:gd name="T77" fmla="*/ 305079 h 820"/>
              <a:gd name="T78" fmla="*/ 0 w 429"/>
              <a:gd name="T79" fmla="*/ 367340 h 820"/>
              <a:gd name="T80" fmla="*/ 17340 w 429"/>
              <a:gd name="T81" fmla="*/ 322201 h 820"/>
              <a:gd name="T82" fmla="*/ 45716 w 429"/>
              <a:gd name="T83" fmla="*/ 281731 h 820"/>
              <a:gd name="T84" fmla="*/ 72514 w 429"/>
              <a:gd name="T85" fmla="*/ 108957 h 820"/>
              <a:gd name="T86" fmla="*/ 111924 w 429"/>
              <a:gd name="T87" fmla="*/ 6226 h 820"/>
              <a:gd name="T88" fmla="*/ 264835 w 429"/>
              <a:gd name="T89" fmla="*/ 51365 h 820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w 429"/>
              <a:gd name="T136" fmla="*/ 0 h 820"/>
              <a:gd name="T137" fmla="*/ 429 w 429"/>
              <a:gd name="T138" fmla="*/ 820 h 820"/>
            </a:gdLst>
            <a:ahLst/>
            <a:cxnLst>
              <a:cxn ang="T90">
                <a:pos x="T0" y="T1"/>
              </a:cxn>
              <a:cxn ang="T91">
                <a:pos x="T2" y="T3"/>
              </a:cxn>
              <a:cxn ang="T92">
                <a:pos x="T4" y="T5"/>
              </a:cxn>
              <a:cxn ang="T93">
                <a:pos x="T6" y="T7"/>
              </a:cxn>
              <a:cxn ang="T94">
                <a:pos x="T8" y="T9"/>
              </a:cxn>
              <a:cxn ang="T95">
                <a:pos x="T10" y="T11"/>
              </a:cxn>
              <a:cxn ang="T96">
                <a:pos x="T12" y="T13"/>
              </a:cxn>
              <a:cxn ang="T97">
                <a:pos x="T14" y="T15"/>
              </a:cxn>
              <a:cxn ang="T98">
                <a:pos x="T16" y="T17"/>
              </a:cxn>
              <a:cxn ang="T99">
                <a:pos x="T18" y="T19"/>
              </a:cxn>
              <a:cxn ang="T100">
                <a:pos x="T20" y="T21"/>
              </a:cxn>
              <a:cxn ang="T101">
                <a:pos x="T22" y="T23"/>
              </a:cxn>
              <a:cxn ang="T102">
                <a:pos x="T24" y="T25"/>
              </a:cxn>
              <a:cxn ang="T103">
                <a:pos x="T26" y="T27"/>
              </a:cxn>
              <a:cxn ang="T104">
                <a:pos x="T28" y="T29"/>
              </a:cxn>
              <a:cxn ang="T105">
                <a:pos x="T30" y="T31"/>
              </a:cxn>
              <a:cxn ang="T106">
                <a:pos x="T32" y="T33"/>
              </a:cxn>
              <a:cxn ang="T107">
                <a:pos x="T34" y="T35"/>
              </a:cxn>
              <a:cxn ang="T108">
                <a:pos x="T36" y="T37"/>
              </a:cxn>
              <a:cxn ang="T109">
                <a:pos x="T38" y="T39"/>
              </a:cxn>
              <a:cxn ang="T110">
                <a:pos x="T40" y="T41"/>
              </a:cxn>
              <a:cxn ang="T111">
                <a:pos x="T42" y="T43"/>
              </a:cxn>
              <a:cxn ang="T112">
                <a:pos x="T44" y="T45"/>
              </a:cxn>
              <a:cxn ang="T113">
                <a:pos x="T46" y="T47"/>
              </a:cxn>
              <a:cxn ang="T114">
                <a:pos x="T48" y="T49"/>
              </a:cxn>
              <a:cxn ang="T115">
                <a:pos x="T50" y="T51"/>
              </a:cxn>
              <a:cxn ang="T116">
                <a:pos x="T52" y="T53"/>
              </a:cxn>
              <a:cxn ang="T117">
                <a:pos x="T54" y="T55"/>
              </a:cxn>
              <a:cxn ang="T118">
                <a:pos x="T56" y="T57"/>
              </a:cxn>
              <a:cxn ang="T119">
                <a:pos x="T58" y="T59"/>
              </a:cxn>
              <a:cxn ang="T120">
                <a:pos x="T60" y="T61"/>
              </a:cxn>
              <a:cxn ang="T121">
                <a:pos x="T62" y="T63"/>
              </a:cxn>
              <a:cxn ang="T122">
                <a:pos x="T64" y="T65"/>
              </a:cxn>
              <a:cxn ang="T123">
                <a:pos x="T66" y="T67"/>
              </a:cxn>
              <a:cxn ang="T124">
                <a:pos x="T68" y="T69"/>
              </a:cxn>
              <a:cxn ang="T125">
                <a:pos x="T70" y="T71"/>
              </a:cxn>
              <a:cxn ang="T126">
                <a:pos x="T72" y="T73"/>
              </a:cxn>
              <a:cxn ang="T127">
                <a:pos x="T74" y="T75"/>
              </a:cxn>
              <a:cxn ang="T128">
                <a:pos x="T76" y="T77"/>
              </a:cxn>
              <a:cxn ang="T129">
                <a:pos x="T78" y="T79"/>
              </a:cxn>
              <a:cxn ang="T130">
                <a:pos x="T80" y="T81"/>
              </a:cxn>
              <a:cxn ang="T131">
                <a:pos x="T82" y="T83"/>
              </a:cxn>
              <a:cxn ang="T132">
                <a:pos x="T84" y="T85"/>
              </a:cxn>
              <a:cxn ang="T133">
                <a:pos x="T86" y="T87"/>
              </a:cxn>
              <a:cxn ang="T134">
                <a:pos x="T88" y="T89"/>
              </a:cxn>
            </a:cxnLst>
            <a:rect l="T135" t="T136" r="T137" b="T138"/>
            <a:pathLst>
              <a:path w="429" h="820">
                <a:moveTo>
                  <a:pt x="118" y="77"/>
                </a:moveTo>
                <a:lnTo>
                  <a:pt x="139" y="81"/>
                </a:lnTo>
                <a:lnTo>
                  <a:pt x="128" y="103"/>
                </a:lnTo>
                <a:lnTo>
                  <a:pt x="96" y="125"/>
                </a:lnTo>
                <a:lnTo>
                  <a:pt x="111" y="129"/>
                </a:lnTo>
                <a:lnTo>
                  <a:pt x="128" y="111"/>
                </a:lnTo>
                <a:lnTo>
                  <a:pt x="161" y="103"/>
                </a:lnTo>
                <a:lnTo>
                  <a:pt x="214" y="107"/>
                </a:lnTo>
                <a:lnTo>
                  <a:pt x="246" y="103"/>
                </a:lnTo>
                <a:lnTo>
                  <a:pt x="250" y="118"/>
                </a:lnTo>
                <a:lnTo>
                  <a:pt x="207" y="188"/>
                </a:lnTo>
                <a:lnTo>
                  <a:pt x="200" y="214"/>
                </a:lnTo>
                <a:lnTo>
                  <a:pt x="196" y="240"/>
                </a:lnTo>
                <a:lnTo>
                  <a:pt x="218" y="240"/>
                </a:lnTo>
                <a:lnTo>
                  <a:pt x="210" y="258"/>
                </a:lnTo>
                <a:lnTo>
                  <a:pt x="189" y="255"/>
                </a:lnTo>
                <a:lnTo>
                  <a:pt x="171" y="273"/>
                </a:lnTo>
                <a:lnTo>
                  <a:pt x="203" y="273"/>
                </a:lnTo>
                <a:lnTo>
                  <a:pt x="235" y="291"/>
                </a:lnTo>
                <a:lnTo>
                  <a:pt x="253" y="317"/>
                </a:lnTo>
                <a:lnTo>
                  <a:pt x="260" y="369"/>
                </a:lnTo>
                <a:lnTo>
                  <a:pt x="268" y="373"/>
                </a:lnTo>
                <a:lnTo>
                  <a:pt x="282" y="406"/>
                </a:lnTo>
                <a:lnTo>
                  <a:pt x="307" y="417"/>
                </a:lnTo>
                <a:lnTo>
                  <a:pt x="339" y="487"/>
                </a:lnTo>
                <a:lnTo>
                  <a:pt x="335" y="502"/>
                </a:lnTo>
                <a:lnTo>
                  <a:pt x="346" y="520"/>
                </a:lnTo>
                <a:lnTo>
                  <a:pt x="332" y="553"/>
                </a:lnTo>
                <a:lnTo>
                  <a:pt x="346" y="576"/>
                </a:lnTo>
                <a:lnTo>
                  <a:pt x="357" y="553"/>
                </a:lnTo>
                <a:lnTo>
                  <a:pt x="407" y="557"/>
                </a:lnTo>
                <a:lnTo>
                  <a:pt x="428" y="572"/>
                </a:lnTo>
                <a:lnTo>
                  <a:pt x="428" y="616"/>
                </a:lnTo>
                <a:lnTo>
                  <a:pt x="417" y="638"/>
                </a:lnTo>
                <a:lnTo>
                  <a:pt x="396" y="638"/>
                </a:lnTo>
                <a:lnTo>
                  <a:pt x="364" y="671"/>
                </a:lnTo>
                <a:lnTo>
                  <a:pt x="375" y="686"/>
                </a:lnTo>
                <a:lnTo>
                  <a:pt x="410" y="675"/>
                </a:lnTo>
                <a:lnTo>
                  <a:pt x="410" y="705"/>
                </a:lnTo>
                <a:lnTo>
                  <a:pt x="396" y="738"/>
                </a:lnTo>
                <a:lnTo>
                  <a:pt x="353" y="749"/>
                </a:lnTo>
                <a:lnTo>
                  <a:pt x="332" y="738"/>
                </a:lnTo>
                <a:lnTo>
                  <a:pt x="303" y="753"/>
                </a:lnTo>
                <a:lnTo>
                  <a:pt x="268" y="742"/>
                </a:lnTo>
                <a:lnTo>
                  <a:pt x="268" y="764"/>
                </a:lnTo>
                <a:lnTo>
                  <a:pt x="250" y="764"/>
                </a:lnTo>
                <a:lnTo>
                  <a:pt x="250" y="753"/>
                </a:lnTo>
                <a:lnTo>
                  <a:pt x="235" y="756"/>
                </a:lnTo>
                <a:lnTo>
                  <a:pt x="218" y="778"/>
                </a:lnTo>
                <a:lnTo>
                  <a:pt x="210" y="760"/>
                </a:lnTo>
                <a:lnTo>
                  <a:pt x="196" y="749"/>
                </a:lnTo>
                <a:lnTo>
                  <a:pt x="153" y="756"/>
                </a:lnTo>
                <a:lnTo>
                  <a:pt x="150" y="789"/>
                </a:lnTo>
                <a:lnTo>
                  <a:pt x="111" y="782"/>
                </a:lnTo>
                <a:lnTo>
                  <a:pt x="75" y="797"/>
                </a:lnTo>
                <a:lnTo>
                  <a:pt x="64" y="819"/>
                </a:lnTo>
                <a:lnTo>
                  <a:pt x="57" y="804"/>
                </a:lnTo>
                <a:lnTo>
                  <a:pt x="39" y="815"/>
                </a:lnTo>
                <a:lnTo>
                  <a:pt x="29" y="804"/>
                </a:lnTo>
                <a:lnTo>
                  <a:pt x="39" y="789"/>
                </a:lnTo>
                <a:lnTo>
                  <a:pt x="57" y="786"/>
                </a:lnTo>
                <a:lnTo>
                  <a:pt x="75" y="756"/>
                </a:lnTo>
                <a:lnTo>
                  <a:pt x="96" y="749"/>
                </a:lnTo>
                <a:lnTo>
                  <a:pt x="103" y="719"/>
                </a:lnTo>
                <a:lnTo>
                  <a:pt x="121" y="705"/>
                </a:lnTo>
                <a:lnTo>
                  <a:pt x="161" y="701"/>
                </a:lnTo>
                <a:lnTo>
                  <a:pt x="185" y="668"/>
                </a:lnTo>
                <a:lnTo>
                  <a:pt x="175" y="664"/>
                </a:lnTo>
                <a:lnTo>
                  <a:pt x="161" y="679"/>
                </a:lnTo>
                <a:lnTo>
                  <a:pt x="139" y="671"/>
                </a:lnTo>
                <a:lnTo>
                  <a:pt x="118" y="679"/>
                </a:lnTo>
                <a:lnTo>
                  <a:pt x="107" y="649"/>
                </a:lnTo>
                <a:lnTo>
                  <a:pt x="78" y="671"/>
                </a:lnTo>
                <a:lnTo>
                  <a:pt x="64" y="649"/>
                </a:lnTo>
                <a:lnTo>
                  <a:pt x="118" y="620"/>
                </a:lnTo>
                <a:lnTo>
                  <a:pt x="136" y="601"/>
                </a:lnTo>
                <a:lnTo>
                  <a:pt x="132" y="572"/>
                </a:lnTo>
                <a:lnTo>
                  <a:pt x="143" y="550"/>
                </a:lnTo>
                <a:lnTo>
                  <a:pt x="118" y="550"/>
                </a:lnTo>
                <a:lnTo>
                  <a:pt x="96" y="557"/>
                </a:lnTo>
                <a:lnTo>
                  <a:pt x="114" y="535"/>
                </a:lnTo>
                <a:lnTo>
                  <a:pt x="96" y="513"/>
                </a:lnTo>
                <a:lnTo>
                  <a:pt x="111" y="505"/>
                </a:lnTo>
                <a:lnTo>
                  <a:pt x="121" y="516"/>
                </a:lnTo>
                <a:lnTo>
                  <a:pt x="185" y="513"/>
                </a:lnTo>
                <a:lnTo>
                  <a:pt x="178" y="494"/>
                </a:lnTo>
                <a:lnTo>
                  <a:pt x="175" y="469"/>
                </a:lnTo>
                <a:lnTo>
                  <a:pt x="196" y="443"/>
                </a:lnTo>
                <a:lnTo>
                  <a:pt x="185" y="439"/>
                </a:lnTo>
                <a:lnTo>
                  <a:pt x="164" y="454"/>
                </a:lnTo>
                <a:lnTo>
                  <a:pt x="157" y="417"/>
                </a:lnTo>
                <a:lnTo>
                  <a:pt x="161" y="395"/>
                </a:lnTo>
                <a:lnTo>
                  <a:pt x="185" y="380"/>
                </a:lnTo>
                <a:lnTo>
                  <a:pt x="161" y="373"/>
                </a:lnTo>
                <a:lnTo>
                  <a:pt x="143" y="391"/>
                </a:lnTo>
                <a:lnTo>
                  <a:pt x="111" y="384"/>
                </a:lnTo>
                <a:lnTo>
                  <a:pt x="118" y="402"/>
                </a:lnTo>
                <a:lnTo>
                  <a:pt x="100" y="391"/>
                </a:lnTo>
                <a:lnTo>
                  <a:pt x="86" y="395"/>
                </a:lnTo>
                <a:lnTo>
                  <a:pt x="86" y="410"/>
                </a:lnTo>
                <a:lnTo>
                  <a:pt x="71" y="384"/>
                </a:lnTo>
                <a:lnTo>
                  <a:pt x="89" y="339"/>
                </a:lnTo>
                <a:lnTo>
                  <a:pt x="93" y="317"/>
                </a:lnTo>
                <a:lnTo>
                  <a:pt x="78" y="310"/>
                </a:lnTo>
                <a:lnTo>
                  <a:pt x="64" y="280"/>
                </a:lnTo>
                <a:lnTo>
                  <a:pt x="50" y="280"/>
                </a:lnTo>
                <a:lnTo>
                  <a:pt x="68" y="317"/>
                </a:lnTo>
                <a:lnTo>
                  <a:pt x="54" y="306"/>
                </a:lnTo>
                <a:lnTo>
                  <a:pt x="54" y="336"/>
                </a:lnTo>
                <a:lnTo>
                  <a:pt x="36" y="336"/>
                </a:lnTo>
                <a:lnTo>
                  <a:pt x="36" y="306"/>
                </a:lnTo>
                <a:lnTo>
                  <a:pt x="32" y="277"/>
                </a:lnTo>
                <a:lnTo>
                  <a:pt x="11" y="288"/>
                </a:lnTo>
                <a:lnTo>
                  <a:pt x="21" y="266"/>
                </a:lnTo>
                <a:lnTo>
                  <a:pt x="36" y="262"/>
                </a:lnTo>
                <a:lnTo>
                  <a:pt x="68" y="203"/>
                </a:lnTo>
                <a:lnTo>
                  <a:pt x="64" y="196"/>
                </a:lnTo>
                <a:lnTo>
                  <a:pt x="29" y="236"/>
                </a:lnTo>
                <a:lnTo>
                  <a:pt x="0" y="247"/>
                </a:lnTo>
                <a:lnTo>
                  <a:pt x="0" y="236"/>
                </a:lnTo>
                <a:lnTo>
                  <a:pt x="7" y="232"/>
                </a:lnTo>
                <a:lnTo>
                  <a:pt x="0" y="221"/>
                </a:lnTo>
                <a:lnTo>
                  <a:pt x="11" y="207"/>
                </a:lnTo>
                <a:lnTo>
                  <a:pt x="36" y="218"/>
                </a:lnTo>
                <a:lnTo>
                  <a:pt x="21" y="196"/>
                </a:lnTo>
                <a:lnTo>
                  <a:pt x="29" y="181"/>
                </a:lnTo>
                <a:lnTo>
                  <a:pt x="32" y="129"/>
                </a:lnTo>
                <a:lnTo>
                  <a:pt x="25" y="85"/>
                </a:lnTo>
                <a:lnTo>
                  <a:pt x="46" y="70"/>
                </a:lnTo>
                <a:lnTo>
                  <a:pt x="57" y="48"/>
                </a:lnTo>
                <a:lnTo>
                  <a:pt x="64" y="44"/>
                </a:lnTo>
                <a:lnTo>
                  <a:pt x="71" y="4"/>
                </a:lnTo>
                <a:lnTo>
                  <a:pt x="111" y="11"/>
                </a:lnTo>
                <a:lnTo>
                  <a:pt x="171" y="0"/>
                </a:lnTo>
                <a:lnTo>
                  <a:pt x="168" y="33"/>
                </a:lnTo>
                <a:lnTo>
                  <a:pt x="118" y="77"/>
                </a:lnTo>
              </a:path>
            </a:pathLst>
          </a:custGeom>
          <a:solidFill>
            <a:srgbClr val="2B4C74"/>
          </a:solidFill>
          <a:ln w="3175">
            <a:solidFill>
              <a:srgbClr val="2B4C74"/>
            </a:solidFill>
            <a:round/>
            <a:headEnd/>
            <a:tailEnd/>
          </a:ln>
        </xdr:spPr>
      </xdr:sp>
      <xdr:sp macro="" textlink="">
        <xdr:nvSpPr>
          <xdr:cNvPr id="25699" name="S_GBR1"/>
          <xdr:cNvSpPr>
            <a:spLocks noChangeAspect="1"/>
          </xdr:cNvSpPr>
        </xdr:nvSpPr>
        <xdr:spPr bwMode="auto">
          <a:xfrm>
            <a:off x="971550" y="3676650"/>
            <a:ext cx="190500" cy="171450"/>
          </a:xfrm>
          <a:custGeom>
            <a:avLst/>
            <a:gdLst>
              <a:gd name="T0" fmla="*/ 78441 w 119"/>
              <a:gd name="T1" fmla="*/ 18875 h 109"/>
              <a:gd name="T2" fmla="*/ 97651 w 119"/>
              <a:gd name="T3" fmla="*/ 0 h 109"/>
              <a:gd name="T4" fmla="*/ 160084 w 119"/>
              <a:gd name="T5" fmla="*/ 18875 h 109"/>
              <a:gd name="T6" fmla="*/ 174492 w 119"/>
              <a:gd name="T7" fmla="*/ 53480 h 109"/>
              <a:gd name="T8" fmla="*/ 160084 w 119"/>
              <a:gd name="T9" fmla="*/ 78647 h 109"/>
              <a:gd name="T10" fmla="*/ 180895 w 119"/>
              <a:gd name="T11" fmla="*/ 78647 h 109"/>
              <a:gd name="T12" fmla="*/ 190500 w 119"/>
              <a:gd name="T13" fmla="*/ 105387 h 109"/>
              <a:gd name="T14" fmla="*/ 169689 w 119"/>
              <a:gd name="T15" fmla="*/ 136845 h 109"/>
              <a:gd name="T16" fmla="*/ 145676 w 119"/>
              <a:gd name="T17" fmla="*/ 155721 h 109"/>
              <a:gd name="T18" fmla="*/ 107256 w 119"/>
              <a:gd name="T19" fmla="*/ 155721 h 109"/>
              <a:gd name="T20" fmla="*/ 86445 w 119"/>
              <a:gd name="T21" fmla="*/ 151002 h 109"/>
              <a:gd name="T22" fmla="*/ 64034 w 119"/>
              <a:gd name="T23" fmla="*/ 171450 h 109"/>
              <a:gd name="T24" fmla="*/ 4803 w 119"/>
              <a:gd name="T25" fmla="*/ 152575 h 109"/>
              <a:gd name="T26" fmla="*/ 0 w 119"/>
              <a:gd name="T27" fmla="*/ 119543 h 109"/>
              <a:gd name="T28" fmla="*/ 28815 w 119"/>
              <a:gd name="T29" fmla="*/ 80220 h 109"/>
              <a:gd name="T30" fmla="*/ 44824 w 119"/>
              <a:gd name="T31" fmla="*/ 80220 h 109"/>
              <a:gd name="T32" fmla="*/ 57630 w 119"/>
              <a:gd name="T33" fmla="*/ 34605 h 109"/>
              <a:gd name="T34" fmla="*/ 80042 w 119"/>
              <a:gd name="T35" fmla="*/ 23594 h 109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w 119"/>
              <a:gd name="T55" fmla="*/ 0 h 109"/>
              <a:gd name="T56" fmla="*/ 119 w 119"/>
              <a:gd name="T57" fmla="*/ 109 h 109"/>
            </a:gdLst>
            <a:ahLst/>
            <a:cxnLst>
              <a:cxn ang="T36">
                <a:pos x="T0" y="T1"/>
              </a:cxn>
              <a:cxn ang="T37">
                <a:pos x="T2" y="T3"/>
              </a:cxn>
              <a:cxn ang="T38">
                <a:pos x="T4" y="T5"/>
              </a:cxn>
              <a:cxn ang="T39">
                <a:pos x="T6" y="T7"/>
              </a:cxn>
              <a:cxn ang="T40">
                <a:pos x="T8" y="T9"/>
              </a:cxn>
              <a:cxn ang="T41">
                <a:pos x="T10" y="T11"/>
              </a:cxn>
              <a:cxn ang="T42">
                <a:pos x="T12" y="T13"/>
              </a:cxn>
              <a:cxn ang="T43">
                <a:pos x="T14" y="T15"/>
              </a:cxn>
              <a:cxn ang="T44">
                <a:pos x="T16" y="T17"/>
              </a:cxn>
              <a:cxn ang="T45">
                <a:pos x="T18" y="T19"/>
              </a:cxn>
              <a:cxn ang="T46">
                <a:pos x="T20" y="T21"/>
              </a:cxn>
              <a:cxn ang="T47">
                <a:pos x="T22" y="T23"/>
              </a:cxn>
              <a:cxn ang="T48">
                <a:pos x="T24" y="T25"/>
              </a:cxn>
              <a:cxn ang="T49">
                <a:pos x="T26" y="T27"/>
              </a:cxn>
              <a:cxn ang="T50">
                <a:pos x="T28" y="T29"/>
              </a:cxn>
              <a:cxn ang="T51">
                <a:pos x="T30" y="T31"/>
              </a:cxn>
              <a:cxn ang="T52">
                <a:pos x="T32" y="T33"/>
              </a:cxn>
              <a:cxn ang="T53">
                <a:pos x="T34" y="T35"/>
              </a:cxn>
            </a:cxnLst>
            <a:rect l="T54" t="T55" r="T56" b="T57"/>
            <a:pathLst>
              <a:path w="119" h="109">
                <a:moveTo>
                  <a:pt x="49" y="12"/>
                </a:moveTo>
                <a:lnTo>
                  <a:pt x="61" y="0"/>
                </a:lnTo>
                <a:lnTo>
                  <a:pt x="100" y="12"/>
                </a:lnTo>
                <a:lnTo>
                  <a:pt x="109" y="34"/>
                </a:lnTo>
                <a:lnTo>
                  <a:pt x="100" y="50"/>
                </a:lnTo>
                <a:lnTo>
                  <a:pt x="113" y="50"/>
                </a:lnTo>
                <a:lnTo>
                  <a:pt x="119" y="67"/>
                </a:lnTo>
                <a:lnTo>
                  <a:pt x="106" y="87"/>
                </a:lnTo>
                <a:lnTo>
                  <a:pt x="91" y="99"/>
                </a:lnTo>
                <a:lnTo>
                  <a:pt x="67" y="99"/>
                </a:lnTo>
                <a:lnTo>
                  <a:pt x="54" y="96"/>
                </a:lnTo>
                <a:lnTo>
                  <a:pt x="40" y="109"/>
                </a:lnTo>
                <a:lnTo>
                  <a:pt x="3" y="97"/>
                </a:lnTo>
                <a:lnTo>
                  <a:pt x="0" y="76"/>
                </a:lnTo>
                <a:lnTo>
                  <a:pt x="18" y="51"/>
                </a:lnTo>
                <a:lnTo>
                  <a:pt x="28" y="51"/>
                </a:lnTo>
                <a:lnTo>
                  <a:pt x="36" y="22"/>
                </a:lnTo>
                <a:lnTo>
                  <a:pt x="50" y="15"/>
                </a:lnTo>
              </a:path>
            </a:pathLst>
          </a:custGeom>
          <a:solidFill>
            <a:srgbClr val="2B4C74"/>
          </a:solidFill>
          <a:ln w="3175">
            <a:solidFill>
              <a:srgbClr val="2B4C74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0</xdr:colOff>
      <xdr:row>22</xdr:row>
      <xdr:rowOff>66675</xdr:rowOff>
    </xdr:from>
    <xdr:to>
      <xdr:col>2</xdr:col>
      <xdr:colOff>323850</xdr:colOff>
      <xdr:row>25</xdr:row>
      <xdr:rowOff>133350</xdr:rowOff>
    </xdr:to>
    <xdr:sp macro="" textlink="">
      <xdr:nvSpPr>
        <xdr:cNvPr id="25666" name="S_IRL"/>
        <xdr:cNvSpPr>
          <a:spLocks noChangeAspect="1"/>
        </xdr:cNvSpPr>
      </xdr:nvSpPr>
      <xdr:spPr bwMode="auto">
        <a:xfrm>
          <a:off x="828675" y="3638550"/>
          <a:ext cx="323850" cy="552450"/>
        </a:xfrm>
        <a:custGeom>
          <a:avLst/>
          <a:gdLst>
            <a:gd name="T0" fmla="*/ 236846 w 201"/>
            <a:gd name="T1" fmla="*/ 50366 h 351"/>
            <a:gd name="T2" fmla="*/ 214289 w 201"/>
            <a:gd name="T3" fmla="*/ 77123 h 351"/>
            <a:gd name="T4" fmla="*/ 193343 w 201"/>
            <a:gd name="T5" fmla="*/ 122767 h 351"/>
            <a:gd name="T6" fmla="*/ 177231 w 201"/>
            <a:gd name="T7" fmla="*/ 116471 h 351"/>
            <a:gd name="T8" fmla="*/ 156286 w 201"/>
            <a:gd name="T9" fmla="*/ 155819 h 351"/>
            <a:gd name="T10" fmla="*/ 156286 w 201"/>
            <a:gd name="T11" fmla="*/ 188872 h 351"/>
            <a:gd name="T12" fmla="*/ 214289 w 201"/>
            <a:gd name="T13" fmla="*/ 206185 h 351"/>
            <a:gd name="T14" fmla="*/ 225567 w 201"/>
            <a:gd name="T15" fmla="*/ 162115 h 351"/>
            <a:gd name="T16" fmla="*/ 262625 w 201"/>
            <a:gd name="T17" fmla="*/ 184150 h 351"/>
            <a:gd name="T18" fmla="*/ 301293 w 201"/>
            <a:gd name="T19" fmla="*/ 188872 h 351"/>
            <a:gd name="T20" fmla="*/ 322239 w 201"/>
            <a:gd name="T21" fmla="*/ 278586 h 351"/>
            <a:gd name="T22" fmla="*/ 306127 w 201"/>
            <a:gd name="T23" fmla="*/ 300621 h 351"/>
            <a:gd name="T24" fmla="*/ 322239 w 201"/>
            <a:gd name="T25" fmla="*/ 305343 h 351"/>
            <a:gd name="T26" fmla="*/ 306127 w 201"/>
            <a:gd name="T27" fmla="*/ 423388 h 351"/>
            <a:gd name="T28" fmla="*/ 301293 w 201"/>
            <a:gd name="T29" fmla="*/ 450144 h 351"/>
            <a:gd name="T30" fmla="*/ 262625 w 201"/>
            <a:gd name="T31" fmla="*/ 478475 h 351"/>
            <a:gd name="T32" fmla="*/ 225567 w 201"/>
            <a:gd name="T33" fmla="*/ 473753 h 351"/>
            <a:gd name="T34" fmla="*/ 145007 w 201"/>
            <a:gd name="T35" fmla="*/ 517824 h 351"/>
            <a:gd name="T36" fmla="*/ 43502 w 201"/>
            <a:gd name="T37" fmla="*/ 550876 h 351"/>
            <a:gd name="T38" fmla="*/ 16112 w 201"/>
            <a:gd name="T39" fmla="*/ 533563 h 351"/>
            <a:gd name="T40" fmla="*/ 48336 w 201"/>
            <a:gd name="T41" fmla="*/ 506806 h 351"/>
            <a:gd name="T42" fmla="*/ 0 w 201"/>
            <a:gd name="T43" fmla="*/ 500510 h 351"/>
            <a:gd name="T44" fmla="*/ 11278 w 201"/>
            <a:gd name="T45" fmla="*/ 450144 h 351"/>
            <a:gd name="T46" fmla="*/ 43502 w 201"/>
            <a:gd name="T47" fmla="*/ 450144 h 351"/>
            <a:gd name="T48" fmla="*/ 43502 w 201"/>
            <a:gd name="T49" fmla="*/ 428109 h 351"/>
            <a:gd name="T50" fmla="*/ 96672 w 201"/>
            <a:gd name="T51" fmla="*/ 406074 h 351"/>
            <a:gd name="T52" fmla="*/ 91838 w 201"/>
            <a:gd name="T53" fmla="*/ 384039 h 351"/>
            <a:gd name="T54" fmla="*/ 43502 w 201"/>
            <a:gd name="T55" fmla="*/ 401353 h 351"/>
            <a:gd name="T56" fmla="*/ 80560 w 201"/>
            <a:gd name="T57" fmla="*/ 362004 h 351"/>
            <a:gd name="T58" fmla="*/ 64448 w 201"/>
            <a:gd name="T59" fmla="*/ 355709 h 351"/>
            <a:gd name="T60" fmla="*/ 96672 w 201"/>
            <a:gd name="T61" fmla="*/ 300621 h 351"/>
            <a:gd name="T62" fmla="*/ 85393 w 201"/>
            <a:gd name="T63" fmla="*/ 305343 h 351"/>
            <a:gd name="T64" fmla="*/ 53169 w 201"/>
            <a:gd name="T65" fmla="*/ 328952 h 351"/>
            <a:gd name="T66" fmla="*/ 11278 w 201"/>
            <a:gd name="T67" fmla="*/ 305343 h 351"/>
            <a:gd name="T68" fmla="*/ 4834 w 201"/>
            <a:gd name="T69" fmla="*/ 267568 h 351"/>
            <a:gd name="T70" fmla="*/ 37057 w 201"/>
            <a:gd name="T71" fmla="*/ 250255 h 351"/>
            <a:gd name="T72" fmla="*/ 43502 w 201"/>
            <a:gd name="T73" fmla="*/ 210907 h 351"/>
            <a:gd name="T74" fmla="*/ 4834 w 201"/>
            <a:gd name="T75" fmla="*/ 210907 h 351"/>
            <a:gd name="T76" fmla="*/ 20946 w 201"/>
            <a:gd name="T77" fmla="*/ 166837 h 351"/>
            <a:gd name="T78" fmla="*/ 91838 w 201"/>
            <a:gd name="T79" fmla="*/ 155819 h 351"/>
            <a:gd name="T80" fmla="*/ 124062 w 201"/>
            <a:gd name="T81" fmla="*/ 173132 h 351"/>
            <a:gd name="T82" fmla="*/ 128896 w 201"/>
            <a:gd name="T83" fmla="*/ 149524 h 351"/>
            <a:gd name="T84" fmla="*/ 156286 w 201"/>
            <a:gd name="T85" fmla="*/ 144802 h 351"/>
            <a:gd name="T86" fmla="*/ 156286 w 201"/>
            <a:gd name="T87" fmla="*/ 127488 h 351"/>
            <a:gd name="T88" fmla="*/ 117617 w 201"/>
            <a:gd name="T89" fmla="*/ 116471 h 351"/>
            <a:gd name="T90" fmla="*/ 140174 w 201"/>
            <a:gd name="T91" fmla="*/ 83418 h 351"/>
            <a:gd name="T92" fmla="*/ 145007 w 201"/>
            <a:gd name="T93" fmla="*/ 44070 h 351"/>
            <a:gd name="T94" fmla="*/ 193343 w 201"/>
            <a:gd name="T95" fmla="*/ 22035 h 351"/>
            <a:gd name="T96" fmla="*/ 198177 w 201"/>
            <a:gd name="T97" fmla="*/ 55088 h 351"/>
            <a:gd name="T98" fmla="*/ 209455 w 201"/>
            <a:gd name="T99" fmla="*/ 22035 h 351"/>
            <a:gd name="T100" fmla="*/ 225567 w 201"/>
            <a:gd name="T101" fmla="*/ 0 h 351"/>
            <a:gd name="T102" fmla="*/ 252957 w 201"/>
            <a:gd name="T103" fmla="*/ 22035 h 351"/>
            <a:gd name="T104" fmla="*/ 236846 w 201"/>
            <a:gd name="T105" fmla="*/ 50366 h 351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w 201"/>
            <a:gd name="T160" fmla="*/ 0 h 351"/>
            <a:gd name="T161" fmla="*/ 201 w 201"/>
            <a:gd name="T162" fmla="*/ 351 h 351"/>
          </a:gdLst>
          <a:ahLst/>
          <a:cxnLst>
            <a:cxn ang="T106">
              <a:pos x="T0" y="T1"/>
            </a:cxn>
            <a:cxn ang="T107">
              <a:pos x="T2" y="T3"/>
            </a:cxn>
            <a:cxn ang="T108">
              <a:pos x="T4" y="T5"/>
            </a:cxn>
            <a:cxn ang="T109">
              <a:pos x="T6" y="T7"/>
            </a:cxn>
            <a:cxn ang="T110">
              <a:pos x="T8" y="T9"/>
            </a:cxn>
            <a:cxn ang="T111">
              <a:pos x="T10" y="T11"/>
            </a:cxn>
            <a:cxn ang="T112">
              <a:pos x="T12" y="T13"/>
            </a:cxn>
            <a:cxn ang="T113">
              <a:pos x="T14" y="T15"/>
            </a:cxn>
            <a:cxn ang="T114">
              <a:pos x="T16" y="T17"/>
            </a:cxn>
            <a:cxn ang="T115">
              <a:pos x="T18" y="T19"/>
            </a:cxn>
            <a:cxn ang="T116">
              <a:pos x="T20" y="T21"/>
            </a:cxn>
            <a:cxn ang="T117">
              <a:pos x="T22" y="T23"/>
            </a:cxn>
            <a:cxn ang="T118">
              <a:pos x="T24" y="T25"/>
            </a:cxn>
            <a:cxn ang="T119">
              <a:pos x="T26" y="T27"/>
            </a:cxn>
            <a:cxn ang="T120">
              <a:pos x="T28" y="T29"/>
            </a:cxn>
            <a:cxn ang="T121">
              <a:pos x="T30" y="T31"/>
            </a:cxn>
            <a:cxn ang="T122">
              <a:pos x="T32" y="T33"/>
            </a:cxn>
            <a:cxn ang="T123">
              <a:pos x="T34" y="T35"/>
            </a:cxn>
            <a:cxn ang="T124">
              <a:pos x="T36" y="T37"/>
            </a:cxn>
            <a:cxn ang="T125">
              <a:pos x="T38" y="T39"/>
            </a:cxn>
            <a:cxn ang="T126">
              <a:pos x="T40" y="T41"/>
            </a:cxn>
            <a:cxn ang="T127">
              <a:pos x="T42" y="T43"/>
            </a:cxn>
            <a:cxn ang="T128">
              <a:pos x="T44" y="T45"/>
            </a:cxn>
            <a:cxn ang="T129">
              <a:pos x="T46" y="T47"/>
            </a:cxn>
            <a:cxn ang="T130">
              <a:pos x="T48" y="T49"/>
            </a:cxn>
            <a:cxn ang="T131">
              <a:pos x="T50" y="T51"/>
            </a:cxn>
            <a:cxn ang="T132">
              <a:pos x="T52" y="T53"/>
            </a:cxn>
            <a:cxn ang="T133">
              <a:pos x="T54" y="T55"/>
            </a:cxn>
            <a:cxn ang="T134">
              <a:pos x="T56" y="T57"/>
            </a:cxn>
            <a:cxn ang="T135">
              <a:pos x="T58" y="T59"/>
            </a:cxn>
            <a:cxn ang="T136">
              <a:pos x="T60" y="T61"/>
            </a:cxn>
            <a:cxn ang="T137">
              <a:pos x="T62" y="T63"/>
            </a:cxn>
            <a:cxn ang="T138">
              <a:pos x="T64" y="T65"/>
            </a:cxn>
            <a:cxn ang="T139">
              <a:pos x="T66" y="T67"/>
            </a:cxn>
            <a:cxn ang="T140">
              <a:pos x="T68" y="T69"/>
            </a:cxn>
            <a:cxn ang="T141">
              <a:pos x="T70" y="T71"/>
            </a:cxn>
            <a:cxn ang="T142">
              <a:pos x="T72" y="T73"/>
            </a:cxn>
            <a:cxn ang="T143">
              <a:pos x="T74" y="T75"/>
            </a:cxn>
            <a:cxn ang="T144">
              <a:pos x="T76" y="T77"/>
            </a:cxn>
            <a:cxn ang="T145">
              <a:pos x="T78" y="T79"/>
            </a:cxn>
            <a:cxn ang="T146">
              <a:pos x="T80" y="T81"/>
            </a:cxn>
            <a:cxn ang="T147">
              <a:pos x="T82" y="T83"/>
            </a:cxn>
            <a:cxn ang="T148">
              <a:pos x="T84" y="T85"/>
            </a:cxn>
            <a:cxn ang="T149">
              <a:pos x="T86" y="T87"/>
            </a:cxn>
            <a:cxn ang="T150">
              <a:pos x="T88" y="T89"/>
            </a:cxn>
            <a:cxn ang="T151">
              <a:pos x="T90" y="T91"/>
            </a:cxn>
            <a:cxn ang="T152">
              <a:pos x="T92" y="T93"/>
            </a:cxn>
            <a:cxn ang="T153">
              <a:pos x="T94" y="T95"/>
            </a:cxn>
            <a:cxn ang="T154">
              <a:pos x="T96" y="T97"/>
            </a:cxn>
            <a:cxn ang="T155">
              <a:pos x="T98" y="T99"/>
            </a:cxn>
            <a:cxn ang="T156">
              <a:pos x="T100" y="T101"/>
            </a:cxn>
            <a:cxn ang="T157">
              <a:pos x="T102" y="T103"/>
            </a:cxn>
            <a:cxn ang="T158">
              <a:pos x="T104" y="T105"/>
            </a:cxn>
          </a:cxnLst>
          <a:rect l="T159" t="T160" r="T161" b="T162"/>
          <a:pathLst>
            <a:path w="201" h="351">
              <a:moveTo>
                <a:pt x="147" y="32"/>
              </a:moveTo>
              <a:lnTo>
                <a:pt x="133" y="49"/>
              </a:lnTo>
              <a:lnTo>
                <a:pt x="120" y="78"/>
              </a:lnTo>
              <a:lnTo>
                <a:pt x="110" y="74"/>
              </a:lnTo>
              <a:lnTo>
                <a:pt x="97" y="99"/>
              </a:lnTo>
              <a:lnTo>
                <a:pt x="97" y="120"/>
              </a:lnTo>
              <a:lnTo>
                <a:pt x="133" y="131"/>
              </a:lnTo>
              <a:lnTo>
                <a:pt x="140" y="103"/>
              </a:lnTo>
              <a:lnTo>
                <a:pt x="163" y="117"/>
              </a:lnTo>
              <a:lnTo>
                <a:pt x="187" y="120"/>
              </a:lnTo>
              <a:lnTo>
                <a:pt x="200" y="177"/>
              </a:lnTo>
              <a:lnTo>
                <a:pt x="190" y="191"/>
              </a:lnTo>
              <a:lnTo>
                <a:pt x="200" y="194"/>
              </a:lnTo>
              <a:lnTo>
                <a:pt x="190" y="269"/>
              </a:lnTo>
              <a:lnTo>
                <a:pt x="187" y="286"/>
              </a:lnTo>
              <a:lnTo>
                <a:pt x="163" y="304"/>
              </a:lnTo>
              <a:lnTo>
                <a:pt x="140" y="301"/>
              </a:lnTo>
              <a:lnTo>
                <a:pt x="90" y="329"/>
              </a:lnTo>
              <a:lnTo>
                <a:pt x="27" y="350"/>
              </a:lnTo>
              <a:lnTo>
                <a:pt x="10" y="339"/>
              </a:lnTo>
              <a:lnTo>
                <a:pt x="30" y="322"/>
              </a:lnTo>
              <a:lnTo>
                <a:pt x="0" y="318"/>
              </a:lnTo>
              <a:lnTo>
                <a:pt x="7" y="286"/>
              </a:lnTo>
              <a:lnTo>
                <a:pt x="27" y="286"/>
              </a:lnTo>
              <a:lnTo>
                <a:pt x="27" y="272"/>
              </a:lnTo>
              <a:lnTo>
                <a:pt x="60" y="258"/>
              </a:lnTo>
              <a:lnTo>
                <a:pt x="57" y="244"/>
              </a:lnTo>
              <a:lnTo>
                <a:pt x="27" y="255"/>
              </a:lnTo>
              <a:lnTo>
                <a:pt x="50" y="230"/>
              </a:lnTo>
              <a:lnTo>
                <a:pt x="40" y="226"/>
              </a:lnTo>
              <a:lnTo>
                <a:pt x="60" y="191"/>
              </a:lnTo>
              <a:lnTo>
                <a:pt x="53" y="194"/>
              </a:lnTo>
              <a:lnTo>
                <a:pt x="33" y="209"/>
              </a:lnTo>
              <a:lnTo>
                <a:pt x="7" y="194"/>
              </a:lnTo>
              <a:lnTo>
                <a:pt x="3" y="170"/>
              </a:lnTo>
              <a:lnTo>
                <a:pt x="23" y="159"/>
              </a:lnTo>
              <a:lnTo>
                <a:pt x="27" y="134"/>
              </a:lnTo>
              <a:lnTo>
                <a:pt x="3" y="134"/>
              </a:lnTo>
              <a:lnTo>
                <a:pt x="13" y="106"/>
              </a:lnTo>
              <a:lnTo>
                <a:pt x="57" y="99"/>
              </a:lnTo>
              <a:lnTo>
                <a:pt x="77" y="110"/>
              </a:lnTo>
              <a:lnTo>
                <a:pt x="80" y="95"/>
              </a:lnTo>
              <a:lnTo>
                <a:pt x="97" y="92"/>
              </a:lnTo>
              <a:lnTo>
                <a:pt x="97" y="81"/>
              </a:lnTo>
              <a:lnTo>
                <a:pt x="73" y="74"/>
              </a:lnTo>
              <a:lnTo>
                <a:pt x="87" y="53"/>
              </a:lnTo>
              <a:lnTo>
                <a:pt x="90" y="28"/>
              </a:lnTo>
              <a:lnTo>
                <a:pt x="120" y="14"/>
              </a:lnTo>
              <a:lnTo>
                <a:pt x="123" y="35"/>
              </a:lnTo>
              <a:lnTo>
                <a:pt x="130" y="14"/>
              </a:lnTo>
              <a:lnTo>
                <a:pt x="140" y="0"/>
              </a:lnTo>
              <a:lnTo>
                <a:pt x="157" y="14"/>
              </a:lnTo>
              <a:lnTo>
                <a:pt x="147" y="32"/>
              </a:lnTo>
            </a:path>
          </a:pathLst>
        </a:custGeom>
        <a:solidFill>
          <a:srgbClr val="CDDEF3"/>
        </a:solidFill>
        <a:ln w="3175">
          <a:solidFill>
            <a:srgbClr val="CDDEF3"/>
          </a:solidFill>
          <a:round/>
          <a:headEnd/>
          <a:tailEnd/>
        </a:ln>
      </xdr:spPr>
    </xdr:sp>
    <xdr:clientData/>
  </xdr:twoCellAnchor>
  <xdr:twoCellAnchor>
    <xdr:from>
      <xdr:col>3</xdr:col>
      <xdr:colOff>638175</xdr:colOff>
      <xdr:row>23</xdr:row>
      <xdr:rowOff>47625</xdr:rowOff>
    </xdr:from>
    <xdr:to>
      <xdr:col>4</xdr:col>
      <xdr:colOff>657225</xdr:colOff>
      <xdr:row>29</xdr:row>
      <xdr:rowOff>66675</xdr:rowOff>
    </xdr:to>
    <xdr:grpSp>
      <xdr:nvGrpSpPr>
        <xdr:cNvPr id="25667" name="S_DEU"/>
        <xdr:cNvGrpSpPr>
          <a:grpSpLocks/>
        </xdr:cNvGrpSpPr>
      </xdr:nvGrpSpPr>
      <xdr:grpSpPr bwMode="auto">
        <a:xfrm>
          <a:off x="2181225" y="4210050"/>
          <a:ext cx="733425" cy="990600"/>
          <a:chOff x="229" y="414"/>
          <a:chExt cx="77" cy="104"/>
        </a:xfrm>
      </xdr:grpSpPr>
      <xdr:sp macro="" textlink="">
        <xdr:nvSpPr>
          <xdr:cNvPr id="25693" name="S_DEU2"/>
          <xdr:cNvSpPr>
            <a:spLocks noChangeAspect="1"/>
          </xdr:cNvSpPr>
        </xdr:nvSpPr>
        <xdr:spPr bwMode="auto">
          <a:xfrm>
            <a:off x="283" y="415"/>
            <a:ext cx="0" cy="3"/>
          </a:xfrm>
          <a:custGeom>
            <a:avLst/>
            <a:gdLst>
              <a:gd name="T0" fmla="*/ 0 w 1"/>
              <a:gd name="T1" fmla="*/ 0 h 13"/>
              <a:gd name="T2" fmla="*/ 0 w 1"/>
              <a:gd name="T3" fmla="*/ 2 h 13"/>
              <a:gd name="T4" fmla="*/ 0 w 1"/>
              <a:gd name="T5" fmla="*/ 3 h 13"/>
              <a:gd name="T6" fmla="*/ 0 w 1"/>
              <a:gd name="T7" fmla="*/ 3 h 13"/>
              <a:gd name="T8" fmla="*/ 0 w 1"/>
              <a:gd name="T9" fmla="*/ 0 h 13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1"/>
              <a:gd name="T16" fmla="*/ 0 h 13"/>
              <a:gd name="T17" fmla="*/ 0 w 1"/>
              <a:gd name="T18" fmla="*/ 13 h 13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1" h="13">
                <a:moveTo>
                  <a:pt x="0" y="0"/>
                </a:moveTo>
                <a:lnTo>
                  <a:pt x="0" y="8"/>
                </a:lnTo>
                <a:lnTo>
                  <a:pt x="0" y="12"/>
                </a:lnTo>
                <a:lnTo>
                  <a:pt x="0" y="11"/>
                </a:lnTo>
                <a:lnTo>
                  <a:pt x="0" y="0"/>
                </a:lnTo>
              </a:path>
            </a:pathLst>
          </a:custGeom>
          <a:solidFill>
            <a:srgbClr val="1E3E65"/>
          </a:solidFill>
          <a:ln w="3175">
            <a:solidFill>
              <a:srgbClr val="1E3E65"/>
            </a:solidFill>
            <a:round/>
            <a:headEnd/>
            <a:tailEnd/>
          </a:ln>
        </xdr:spPr>
      </xdr:sp>
      <xdr:sp macro="" textlink="">
        <xdr:nvSpPr>
          <xdr:cNvPr id="25694" name="S_DEU1"/>
          <xdr:cNvSpPr>
            <a:spLocks noChangeAspect="1"/>
          </xdr:cNvSpPr>
        </xdr:nvSpPr>
        <xdr:spPr bwMode="auto">
          <a:xfrm>
            <a:off x="229" y="414"/>
            <a:ext cx="77" cy="104"/>
          </a:xfrm>
          <a:custGeom>
            <a:avLst/>
            <a:gdLst>
              <a:gd name="T0" fmla="*/ 5 w 461"/>
              <a:gd name="T1" fmla="*/ 65 h 635"/>
              <a:gd name="T2" fmla="*/ 3 w 461"/>
              <a:gd name="T3" fmla="*/ 57 h 635"/>
              <a:gd name="T4" fmla="*/ 3 w 461"/>
              <a:gd name="T5" fmla="*/ 51 h 635"/>
              <a:gd name="T6" fmla="*/ 0 w 461"/>
              <a:gd name="T7" fmla="*/ 44 h 635"/>
              <a:gd name="T8" fmla="*/ 9 w 461"/>
              <a:gd name="T9" fmla="*/ 41 h 635"/>
              <a:gd name="T10" fmla="*/ 10 w 461"/>
              <a:gd name="T11" fmla="*/ 32 h 635"/>
              <a:gd name="T12" fmla="*/ 10 w 461"/>
              <a:gd name="T13" fmla="*/ 25 h 635"/>
              <a:gd name="T14" fmla="*/ 11 w 461"/>
              <a:gd name="T15" fmla="*/ 20 h 635"/>
              <a:gd name="T16" fmla="*/ 13 w 461"/>
              <a:gd name="T17" fmla="*/ 18 h 635"/>
              <a:gd name="T18" fmla="*/ 20 w 461"/>
              <a:gd name="T19" fmla="*/ 19 h 635"/>
              <a:gd name="T20" fmla="*/ 22 w 461"/>
              <a:gd name="T21" fmla="*/ 21 h 635"/>
              <a:gd name="T22" fmla="*/ 24 w 461"/>
              <a:gd name="T23" fmla="*/ 19 h 635"/>
              <a:gd name="T24" fmla="*/ 29 w 461"/>
              <a:gd name="T25" fmla="*/ 16 h 635"/>
              <a:gd name="T26" fmla="*/ 28 w 461"/>
              <a:gd name="T27" fmla="*/ 14 h 635"/>
              <a:gd name="T28" fmla="*/ 25 w 461"/>
              <a:gd name="T29" fmla="*/ 8 h 635"/>
              <a:gd name="T30" fmla="*/ 26 w 461"/>
              <a:gd name="T31" fmla="*/ 2 h 635"/>
              <a:gd name="T32" fmla="*/ 37 w 461"/>
              <a:gd name="T33" fmla="*/ 5 h 635"/>
              <a:gd name="T34" fmla="*/ 40 w 461"/>
              <a:gd name="T35" fmla="*/ 10 h 635"/>
              <a:gd name="T36" fmla="*/ 43 w 461"/>
              <a:gd name="T37" fmla="*/ 5 h 635"/>
              <a:gd name="T38" fmla="*/ 45 w 461"/>
              <a:gd name="T39" fmla="*/ 8 h 635"/>
              <a:gd name="T40" fmla="*/ 42 w 461"/>
              <a:gd name="T41" fmla="*/ 11 h 635"/>
              <a:gd name="T42" fmla="*/ 40 w 461"/>
              <a:gd name="T43" fmla="*/ 15 h 635"/>
              <a:gd name="T44" fmla="*/ 47 w 461"/>
              <a:gd name="T45" fmla="*/ 16 h 635"/>
              <a:gd name="T46" fmla="*/ 52 w 461"/>
              <a:gd name="T47" fmla="*/ 13 h 635"/>
              <a:gd name="T48" fmla="*/ 58 w 461"/>
              <a:gd name="T49" fmla="*/ 8 h 635"/>
              <a:gd name="T50" fmla="*/ 60 w 461"/>
              <a:gd name="T51" fmla="*/ 10 h 635"/>
              <a:gd name="T52" fmla="*/ 66 w 461"/>
              <a:gd name="T53" fmla="*/ 14 h 635"/>
              <a:gd name="T54" fmla="*/ 68 w 461"/>
              <a:gd name="T55" fmla="*/ 20 h 635"/>
              <a:gd name="T56" fmla="*/ 73 w 461"/>
              <a:gd name="T57" fmla="*/ 35 h 635"/>
              <a:gd name="T58" fmla="*/ 73 w 461"/>
              <a:gd name="T59" fmla="*/ 49 h 635"/>
              <a:gd name="T60" fmla="*/ 77 w 461"/>
              <a:gd name="T61" fmla="*/ 58 h 635"/>
              <a:gd name="T62" fmla="*/ 70 w 461"/>
              <a:gd name="T63" fmla="*/ 63 h 635"/>
              <a:gd name="T64" fmla="*/ 58 w 461"/>
              <a:gd name="T65" fmla="*/ 70 h 635"/>
              <a:gd name="T66" fmla="*/ 52 w 461"/>
              <a:gd name="T67" fmla="*/ 69 h 635"/>
              <a:gd name="T68" fmla="*/ 58 w 461"/>
              <a:gd name="T69" fmla="*/ 80 h 635"/>
              <a:gd name="T70" fmla="*/ 69 w 461"/>
              <a:gd name="T71" fmla="*/ 86 h 635"/>
              <a:gd name="T72" fmla="*/ 65 w 461"/>
              <a:gd name="T73" fmla="*/ 91 h 635"/>
              <a:gd name="T74" fmla="*/ 59 w 461"/>
              <a:gd name="T75" fmla="*/ 96 h 635"/>
              <a:gd name="T76" fmla="*/ 61 w 461"/>
              <a:gd name="T77" fmla="*/ 104 h 635"/>
              <a:gd name="T78" fmla="*/ 47 w 461"/>
              <a:gd name="T79" fmla="*/ 104 h 635"/>
              <a:gd name="T80" fmla="*/ 28 w 461"/>
              <a:gd name="T81" fmla="*/ 101 h 635"/>
              <a:gd name="T82" fmla="*/ 18 w 461"/>
              <a:gd name="T83" fmla="*/ 103 h 635"/>
              <a:gd name="T84" fmla="*/ 17 w 461"/>
              <a:gd name="T85" fmla="*/ 94 h 635"/>
              <a:gd name="T86" fmla="*/ 17 w 461"/>
              <a:gd name="T87" fmla="*/ 81 h 635"/>
              <a:gd name="T88" fmla="*/ 8 w 461"/>
              <a:gd name="T89" fmla="*/ 81 h 635"/>
              <a:gd name="T90" fmla="*/ 7 w 461"/>
              <a:gd name="T91" fmla="*/ 74 h 635"/>
              <a:gd name="T92" fmla="*/ 3 w 461"/>
              <a:gd name="T93" fmla="*/ 69 h 635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w 461"/>
              <a:gd name="T142" fmla="*/ 0 h 635"/>
              <a:gd name="T143" fmla="*/ 461 w 461"/>
              <a:gd name="T144" fmla="*/ 635 h 635"/>
            </a:gdLst>
            <a:ahLst/>
            <a:cxnLst>
              <a:cxn ang="T94">
                <a:pos x="T0" y="T1"/>
              </a:cxn>
              <a:cxn ang="T95">
                <a:pos x="T2" y="T3"/>
              </a:cxn>
              <a:cxn ang="T96">
                <a:pos x="T4" y="T5"/>
              </a:cxn>
              <a:cxn ang="T97">
                <a:pos x="T6" y="T7"/>
              </a:cxn>
              <a:cxn ang="T98">
                <a:pos x="T8" y="T9"/>
              </a:cxn>
              <a:cxn ang="T99">
                <a:pos x="T10" y="T11"/>
              </a:cxn>
              <a:cxn ang="T100">
                <a:pos x="T12" y="T13"/>
              </a:cxn>
              <a:cxn ang="T101">
                <a:pos x="T14" y="T15"/>
              </a:cxn>
              <a:cxn ang="T102">
                <a:pos x="T16" y="T17"/>
              </a:cxn>
              <a:cxn ang="T103">
                <a:pos x="T18" y="T19"/>
              </a:cxn>
              <a:cxn ang="T104">
                <a:pos x="T20" y="T21"/>
              </a:cxn>
              <a:cxn ang="T105">
                <a:pos x="T22" y="T23"/>
              </a:cxn>
              <a:cxn ang="T106">
                <a:pos x="T24" y="T25"/>
              </a:cxn>
              <a:cxn ang="T107">
                <a:pos x="T26" y="T27"/>
              </a:cxn>
              <a:cxn ang="T108">
                <a:pos x="T28" y="T29"/>
              </a:cxn>
              <a:cxn ang="T109">
                <a:pos x="T30" y="T31"/>
              </a:cxn>
              <a:cxn ang="T110">
                <a:pos x="T32" y="T33"/>
              </a:cxn>
              <a:cxn ang="T111">
                <a:pos x="T34" y="T35"/>
              </a:cxn>
              <a:cxn ang="T112">
                <a:pos x="T36" y="T37"/>
              </a:cxn>
              <a:cxn ang="T113">
                <a:pos x="T38" y="T39"/>
              </a:cxn>
              <a:cxn ang="T114">
                <a:pos x="T40" y="T41"/>
              </a:cxn>
              <a:cxn ang="T115">
                <a:pos x="T42" y="T43"/>
              </a:cxn>
              <a:cxn ang="T116">
                <a:pos x="T44" y="T45"/>
              </a:cxn>
              <a:cxn ang="T117">
                <a:pos x="T46" y="T47"/>
              </a:cxn>
              <a:cxn ang="T118">
                <a:pos x="T48" y="T49"/>
              </a:cxn>
              <a:cxn ang="T119">
                <a:pos x="T50" y="T51"/>
              </a:cxn>
              <a:cxn ang="T120">
                <a:pos x="T52" y="T53"/>
              </a:cxn>
              <a:cxn ang="T121">
                <a:pos x="T54" y="T55"/>
              </a:cxn>
              <a:cxn ang="T122">
                <a:pos x="T56" y="T57"/>
              </a:cxn>
              <a:cxn ang="T123">
                <a:pos x="T58" y="T59"/>
              </a:cxn>
              <a:cxn ang="T124">
                <a:pos x="T60" y="T61"/>
              </a:cxn>
              <a:cxn ang="T125">
                <a:pos x="T62" y="T63"/>
              </a:cxn>
              <a:cxn ang="T126">
                <a:pos x="T64" y="T65"/>
              </a:cxn>
              <a:cxn ang="T127">
                <a:pos x="T66" y="T67"/>
              </a:cxn>
              <a:cxn ang="T128">
                <a:pos x="T68" y="T69"/>
              </a:cxn>
              <a:cxn ang="T129">
                <a:pos x="T70" y="T71"/>
              </a:cxn>
              <a:cxn ang="T130">
                <a:pos x="T72" y="T73"/>
              </a:cxn>
              <a:cxn ang="T131">
                <a:pos x="T74" y="T75"/>
              </a:cxn>
              <a:cxn ang="T132">
                <a:pos x="T76" y="T77"/>
              </a:cxn>
              <a:cxn ang="T133">
                <a:pos x="T78" y="T79"/>
              </a:cxn>
              <a:cxn ang="T134">
                <a:pos x="T80" y="T81"/>
              </a:cxn>
              <a:cxn ang="T135">
                <a:pos x="T82" y="T83"/>
              </a:cxn>
              <a:cxn ang="T136">
                <a:pos x="T84" y="T85"/>
              </a:cxn>
              <a:cxn ang="T137">
                <a:pos x="T86" y="T87"/>
              </a:cxn>
              <a:cxn ang="T138">
                <a:pos x="T88" y="T89"/>
              </a:cxn>
              <a:cxn ang="T139">
                <a:pos x="T90" y="T91"/>
              </a:cxn>
              <a:cxn ang="T140">
                <a:pos x="T92" y="T93"/>
              </a:cxn>
            </a:cxnLst>
            <a:rect l="T141" t="T142" r="T143" b="T144"/>
            <a:pathLst>
              <a:path w="461" h="635">
                <a:moveTo>
                  <a:pt x="18" y="420"/>
                </a:moveTo>
                <a:lnTo>
                  <a:pt x="31" y="395"/>
                </a:lnTo>
                <a:lnTo>
                  <a:pt x="31" y="388"/>
                </a:lnTo>
                <a:lnTo>
                  <a:pt x="18" y="350"/>
                </a:lnTo>
                <a:lnTo>
                  <a:pt x="11" y="336"/>
                </a:lnTo>
                <a:lnTo>
                  <a:pt x="18" y="314"/>
                </a:lnTo>
                <a:lnTo>
                  <a:pt x="14" y="285"/>
                </a:lnTo>
                <a:lnTo>
                  <a:pt x="0" y="266"/>
                </a:lnTo>
                <a:lnTo>
                  <a:pt x="40" y="263"/>
                </a:lnTo>
                <a:lnTo>
                  <a:pt x="54" y="252"/>
                </a:lnTo>
                <a:lnTo>
                  <a:pt x="50" y="201"/>
                </a:lnTo>
                <a:lnTo>
                  <a:pt x="58" y="193"/>
                </a:lnTo>
                <a:lnTo>
                  <a:pt x="68" y="161"/>
                </a:lnTo>
                <a:lnTo>
                  <a:pt x="58" y="153"/>
                </a:lnTo>
                <a:lnTo>
                  <a:pt x="58" y="135"/>
                </a:lnTo>
                <a:lnTo>
                  <a:pt x="68" y="124"/>
                </a:lnTo>
                <a:lnTo>
                  <a:pt x="79" y="124"/>
                </a:lnTo>
                <a:lnTo>
                  <a:pt x="76" y="109"/>
                </a:lnTo>
                <a:lnTo>
                  <a:pt x="97" y="109"/>
                </a:lnTo>
                <a:lnTo>
                  <a:pt x="122" y="117"/>
                </a:lnTo>
                <a:lnTo>
                  <a:pt x="122" y="128"/>
                </a:lnTo>
                <a:lnTo>
                  <a:pt x="133" y="128"/>
                </a:lnTo>
                <a:lnTo>
                  <a:pt x="133" y="109"/>
                </a:lnTo>
                <a:lnTo>
                  <a:pt x="144" y="117"/>
                </a:lnTo>
                <a:lnTo>
                  <a:pt x="158" y="91"/>
                </a:lnTo>
                <a:lnTo>
                  <a:pt x="173" y="99"/>
                </a:lnTo>
                <a:lnTo>
                  <a:pt x="187" y="95"/>
                </a:lnTo>
                <a:lnTo>
                  <a:pt x="166" y="84"/>
                </a:lnTo>
                <a:lnTo>
                  <a:pt x="166" y="55"/>
                </a:lnTo>
                <a:lnTo>
                  <a:pt x="148" y="51"/>
                </a:lnTo>
                <a:lnTo>
                  <a:pt x="166" y="40"/>
                </a:lnTo>
                <a:lnTo>
                  <a:pt x="158" y="11"/>
                </a:lnTo>
                <a:lnTo>
                  <a:pt x="212" y="0"/>
                </a:lnTo>
                <a:lnTo>
                  <a:pt x="220" y="29"/>
                </a:lnTo>
                <a:lnTo>
                  <a:pt x="212" y="51"/>
                </a:lnTo>
                <a:lnTo>
                  <a:pt x="238" y="62"/>
                </a:lnTo>
                <a:lnTo>
                  <a:pt x="249" y="51"/>
                </a:lnTo>
                <a:lnTo>
                  <a:pt x="256" y="29"/>
                </a:lnTo>
                <a:lnTo>
                  <a:pt x="263" y="33"/>
                </a:lnTo>
                <a:lnTo>
                  <a:pt x="267" y="51"/>
                </a:lnTo>
                <a:lnTo>
                  <a:pt x="256" y="62"/>
                </a:lnTo>
                <a:lnTo>
                  <a:pt x="249" y="69"/>
                </a:lnTo>
                <a:lnTo>
                  <a:pt x="234" y="77"/>
                </a:lnTo>
                <a:lnTo>
                  <a:pt x="238" y="91"/>
                </a:lnTo>
                <a:lnTo>
                  <a:pt x="259" y="88"/>
                </a:lnTo>
                <a:lnTo>
                  <a:pt x="281" y="99"/>
                </a:lnTo>
                <a:lnTo>
                  <a:pt x="281" y="73"/>
                </a:lnTo>
                <a:lnTo>
                  <a:pt x="313" y="77"/>
                </a:lnTo>
                <a:lnTo>
                  <a:pt x="324" y="51"/>
                </a:lnTo>
                <a:lnTo>
                  <a:pt x="346" y="51"/>
                </a:lnTo>
                <a:lnTo>
                  <a:pt x="342" y="62"/>
                </a:lnTo>
                <a:lnTo>
                  <a:pt x="357" y="62"/>
                </a:lnTo>
                <a:lnTo>
                  <a:pt x="396" y="73"/>
                </a:lnTo>
                <a:lnTo>
                  <a:pt x="396" y="88"/>
                </a:lnTo>
                <a:lnTo>
                  <a:pt x="411" y="99"/>
                </a:lnTo>
                <a:lnTo>
                  <a:pt x="407" y="120"/>
                </a:lnTo>
                <a:lnTo>
                  <a:pt x="414" y="182"/>
                </a:lnTo>
                <a:lnTo>
                  <a:pt x="439" y="215"/>
                </a:lnTo>
                <a:lnTo>
                  <a:pt x="443" y="252"/>
                </a:lnTo>
                <a:lnTo>
                  <a:pt x="439" y="299"/>
                </a:lnTo>
                <a:lnTo>
                  <a:pt x="461" y="325"/>
                </a:lnTo>
                <a:lnTo>
                  <a:pt x="461" y="354"/>
                </a:lnTo>
                <a:lnTo>
                  <a:pt x="439" y="354"/>
                </a:lnTo>
                <a:lnTo>
                  <a:pt x="421" y="383"/>
                </a:lnTo>
                <a:lnTo>
                  <a:pt x="385" y="387"/>
                </a:lnTo>
                <a:lnTo>
                  <a:pt x="346" y="427"/>
                </a:lnTo>
                <a:lnTo>
                  <a:pt x="324" y="416"/>
                </a:lnTo>
                <a:lnTo>
                  <a:pt x="310" y="420"/>
                </a:lnTo>
                <a:lnTo>
                  <a:pt x="331" y="449"/>
                </a:lnTo>
                <a:lnTo>
                  <a:pt x="346" y="489"/>
                </a:lnTo>
                <a:lnTo>
                  <a:pt x="375" y="493"/>
                </a:lnTo>
                <a:lnTo>
                  <a:pt x="414" y="526"/>
                </a:lnTo>
                <a:lnTo>
                  <a:pt x="418" y="540"/>
                </a:lnTo>
                <a:lnTo>
                  <a:pt x="389" y="555"/>
                </a:lnTo>
                <a:lnTo>
                  <a:pt x="357" y="562"/>
                </a:lnTo>
                <a:lnTo>
                  <a:pt x="353" y="584"/>
                </a:lnTo>
                <a:lnTo>
                  <a:pt x="378" y="602"/>
                </a:lnTo>
                <a:lnTo>
                  <a:pt x="367" y="635"/>
                </a:lnTo>
                <a:lnTo>
                  <a:pt x="346" y="613"/>
                </a:lnTo>
                <a:lnTo>
                  <a:pt x="281" y="635"/>
                </a:lnTo>
                <a:lnTo>
                  <a:pt x="203" y="628"/>
                </a:lnTo>
                <a:lnTo>
                  <a:pt x="167" y="616"/>
                </a:lnTo>
                <a:lnTo>
                  <a:pt x="142" y="620"/>
                </a:lnTo>
                <a:lnTo>
                  <a:pt x="108" y="628"/>
                </a:lnTo>
                <a:lnTo>
                  <a:pt x="97" y="613"/>
                </a:lnTo>
                <a:lnTo>
                  <a:pt x="101" y="573"/>
                </a:lnTo>
                <a:lnTo>
                  <a:pt x="115" y="522"/>
                </a:lnTo>
                <a:lnTo>
                  <a:pt x="104" y="493"/>
                </a:lnTo>
                <a:lnTo>
                  <a:pt x="83" y="494"/>
                </a:lnTo>
                <a:lnTo>
                  <a:pt x="47" y="496"/>
                </a:lnTo>
                <a:lnTo>
                  <a:pt x="36" y="474"/>
                </a:lnTo>
                <a:lnTo>
                  <a:pt x="40" y="449"/>
                </a:lnTo>
                <a:lnTo>
                  <a:pt x="25" y="442"/>
                </a:lnTo>
                <a:lnTo>
                  <a:pt x="18" y="420"/>
                </a:lnTo>
              </a:path>
            </a:pathLst>
          </a:custGeom>
          <a:solidFill>
            <a:srgbClr val="1E3E65"/>
          </a:solidFill>
          <a:ln w="3175">
            <a:solidFill>
              <a:srgbClr val="1E3E65"/>
            </a:solidFill>
            <a:round/>
            <a:headEnd/>
            <a:tailEnd/>
          </a:ln>
        </xdr:spPr>
      </xdr:sp>
    </xdr:grpSp>
    <xdr:clientData/>
  </xdr:twoCellAnchor>
  <xdr:twoCellAnchor>
    <xdr:from>
      <xdr:col>3</xdr:col>
      <xdr:colOff>628650</xdr:colOff>
      <xdr:row>27</xdr:row>
      <xdr:rowOff>47625</xdr:rowOff>
    </xdr:from>
    <xdr:to>
      <xdr:col>3</xdr:col>
      <xdr:colOff>704850</xdr:colOff>
      <xdr:row>27</xdr:row>
      <xdr:rowOff>142875</xdr:rowOff>
    </xdr:to>
    <xdr:sp macro="" textlink="">
      <xdr:nvSpPr>
        <xdr:cNvPr id="25668" name="S_LUX"/>
        <xdr:cNvSpPr>
          <a:spLocks noChangeAspect="1"/>
        </xdr:cNvSpPr>
      </xdr:nvSpPr>
      <xdr:spPr bwMode="auto">
        <a:xfrm>
          <a:off x="2171700" y="4429125"/>
          <a:ext cx="76200" cy="95250"/>
        </a:xfrm>
        <a:custGeom>
          <a:avLst/>
          <a:gdLst>
            <a:gd name="T0" fmla="*/ 0 w 43"/>
            <a:gd name="T1" fmla="*/ 95250 h 57"/>
            <a:gd name="T2" fmla="*/ 3544 w 43"/>
            <a:gd name="T3" fmla="*/ 50132 h 57"/>
            <a:gd name="T4" fmla="*/ 10633 w 43"/>
            <a:gd name="T5" fmla="*/ 13368 h 57"/>
            <a:gd name="T6" fmla="*/ 42530 w 43"/>
            <a:gd name="T7" fmla="*/ 0 h 57"/>
            <a:gd name="T8" fmla="*/ 47847 w 43"/>
            <a:gd name="T9" fmla="*/ 31750 h 57"/>
            <a:gd name="T10" fmla="*/ 76200 w 43"/>
            <a:gd name="T11" fmla="*/ 46789 h 57"/>
            <a:gd name="T12" fmla="*/ 76200 w 43"/>
            <a:gd name="T13" fmla="*/ 86895 h 57"/>
            <a:gd name="T14" fmla="*/ 37214 w 43"/>
            <a:gd name="T15" fmla="*/ 90237 h 57"/>
            <a:gd name="T16" fmla="*/ 10633 w 43"/>
            <a:gd name="T17" fmla="*/ 91908 h 57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w 43"/>
            <a:gd name="T28" fmla="*/ 0 h 57"/>
            <a:gd name="T29" fmla="*/ 43 w 43"/>
            <a:gd name="T30" fmla="*/ 57 h 57"/>
          </a:gdLst>
          <a:ahLst/>
          <a:cxnLst>
            <a:cxn ang="T18">
              <a:pos x="T0" y="T1"/>
            </a:cxn>
            <a:cxn ang="T19">
              <a:pos x="T2" y="T3"/>
            </a:cxn>
            <a:cxn ang="T20">
              <a:pos x="T4" y="T5"/>
            </a:cxn>
            <a:cxn ang="T21">
              <a:pos x="T6" y="T7"/>
            </a:cxn>
            <a:cxn ang="T22">
              <a:pos x="T8" y="T9"/>
            </a:cxn>
            <a:cxn ang="T23">
              <a:pos x="T10" y="T11"/>
            </a:cxn>
            <a:cxn ang="T24">
              <a:pos x="T12" y="T13"/>
            </a:cxn>
            <a:cxn ang="T25">
              <a:pos x="T14" y="T15"/>
            </a:cxn>
            <a:cxn ang="T26">
              <a:pos x="T16" y="T17"/>
            </a:cxn>
          </a:cxnLst>
          <a:rect l="T27" t="T28" r="T29" b="T30"/>
          <a:pathLst>
            <a:path w="43" h="57">
              <a:moveTo>
                <a:pt x="0" y="57"/>
              </a:moveTo>
              <a:lnTo>
                <a:pt x="2" y="30"/>
              </a:lnTo>
              <a:lnTo>
                <a:pt x="6" y="8"/>
              </a:lnTo>
              <a:lnTo>
                <a:pt x="24" y="0"/>
              </a:lnTo>
              <a:lnTo>
                <a:pt x="27" y="19"/>
              </a:lnTo>
              <a:lnTo>
                <a:pt x="43" y="28"/>
              </a:lnTo>
              <a:lnTo>
                <a:pt x="43" y="52"/>
              </a:lnTo>
              <a:lnTo>
                <a:pt x="21" y="54"/>
              </a:lnTo>
              <a:lnTo>
                <a:pt x="6" y="55"/>
              </a:lnTo>
            </a:path>
          </a:pathLst>
        </a:custGeom>
        <a:solidFill>
          <a:srgbClr val="F9FBFE"/>
        </a:solidFill>
        <a:ln w="3175">
          <a:solidFill>
            <a:srgbClr val="F9FBFE"/>
          </a:solidFill>
          <a:round/>
          <a:headEnd/>
          <a:tailEnd/>
        </a:ln>
      </xdr:spPr>
    </xdr:sp>
    <xdr:clientData/>
  </xdr:twoCellAnchor>
  <xdr:twoCellAnchor>
    <xdr:from>
      <xdr:col>3</xdr:col>
      <xdr:colOff>428625</xdr:colOff>
      <xdr:row>24</xdr:row>
      <xdr:rowOff>114300</xdr:rowOff>
    </xdr:from>
    <xdr:to>
      <xdr:col>4</xdr:col>
      <xdr:colOff>47625</xdr:colOff>
      <xdr:row>26</xdr:row>
      <xdr:rowOff>114300</xdr:rowOff>
    </xdr:to>
    <xdr:sp macro="" textlink="">
      <xdr:nvSpPr>
        <xdr:cNvPr id="25669" name="S_NLD"/>
        <xdr:cNvSpPr>
          <a:spLocks noChangeAspect="1"/>
        </xdr:cNvSpPr>
      </xdr:nvSpPr>
      <xdr:spPr bwMode="auto">
        <a:xfrm>
          <a:off x="1971675" y="4010025"/>
          <a:ext cx="333375" cy="323850"/>
        </a:xfrm>
        <a:custGeom>
          <a:avLst/>
          <a:gdLst>
            <a:gd name="T0" fmla="*/ 249206 w 202"/>
            <a:gd name="T1" fmla="*/ 319179 h 208"/>
            <a:gd name="T2" fmla="*/ 217849 w 202"/>
            <a:gd name="T3" fmla="*/ 323850 h 208"/>
            <a:gd name="T4" fmla="*/ 219499 w 202"/>
            <a:gd name="T5" fmla="*/ 281812 h 208"/>
            <a:gd name="T6" fmla="*/ 202996 w 202"/>
            <a:gd name="T7" fmla="*/ 277141 h 208"/>
            <a:gd name="T8" fmla="*/ 174939 w 202"/>
            <a:gd name="T9" fmla="*/ 270913 h 208"/>
            <a:gd name="T10" fmla="*/ 112225 w 202"/>
            <a:gd name="T11" fmla="*/ 241331 h 208"/>
            <a:gd name="T12" fmla="*/ 90770 w 202"/>
            <a:gd name="T13" fmla="*/ 270913 h 208"/>
            <a:gd name="T14" fmla="*/ 67665 w 202"/>
            <a:gd name="T15" fmla="*/ 277141 h 208"/>
            <a:gd name="T16" fmla="*/ 23105 w 202"/>
            <a:gd name="T17" fmla="*/ 270913 h 208"/>
            <a:gd name="T18" fmla="*/ 0 w 202"/>
            <a:gd name="T19" fmla="*/ 250672 h 208"/>
            <a:gd name="T20" fmla="*/ 23105 w 202"/>
            <a:gd name="T21" fmla="*/ 246001 h 208"/>
            <a:gd name="T22" fmla="*/ 39609 w 202"/>
            <a:gd name="T23" fmla="*/ 261571 h 208"/>
            <a:gd name="T24" fmla="*/ 44560 w 202"/>
            <a:gd name="T25" fmla="*/ 241331 h 208"/>
            <a:gd name="T26" fmla="*/ 11553 w 202"/>
            <a:gd name="T27" fmla="*/ 235103 h 208"/>
            <a:gd name="T28" fmla="*/ 34658 w 202"/>
            <a:gd name="T29" fmla="*/ 210191 h 208"/>
            <a:gd name="T30" fmla="*/ 84169 w 202"/>
            <a:gd name="T31" fmla="*/ 235103 h 208"/>
            <a:gd name="T32" fmla="*/ 79218 w 202"/>
            <a:gd name="T33" fmla="*/ 199292 h 208"/>
            <a:gd name="T34" fmla="*/ 62714 w 202"/>
            <a:gd name="T35" fmla="*/ 214862 h 208"/>
            <a:gd name="T36" fmla="*/ 44560 w 202"/>
            <a:gd name="T37" fmla="*/ 205520 h 208"/>
            <a:gd name="T38" fmla="*/ 84169 w 202"/>
            <a:gd name="T39" fmla="*/ 174381 h 208"/>
            <a:gd name="T40" fmla="*/ 112225 w 202"/>
            <a:gd name="T41" fmla="*/ 133900 h 208"/>
            <a:gd name="T42" fmla="*/ 151834 w 202"/>
            <a:gd name="T43" fmla="*/ 46709 h 208"/>
            <a:gd name="T44" fmla="*/ 163387 w 202"/>
            <a:gd name="T45" fmla="*/ 35810 h 208"/>
            <a:gd name="T46" fmla="*/ 191443 w 202"/>
            <a:gd name="T47" fmla="*/ 46709 h 208"/>
            <a:gd name="T48" fmla="*/ 221150 w 202"/>
            <a:gd name="T49" fmla="*/ 31139 h 208"/>
            <a:gd name="T50" fmla="*/ 231052 w 202"/>
            <a:gd name="T51" fmla="*/ 0 h 208"/>
            <a:gd name="T52" fmla="*/ 316871 w 202"/>
            <a:gd name="T53" fmla="*/ 0 h 208"/>
            <a:gd name="T54" fmla="*/ 316871 w 202"/>
            <a:gd name="T55" fmla="*/ 10899 h 208"/>
            <a:gd name="T56" fmla="*/ 316871 w 202"/>
            <a:gd name="T57" fmla="*/ 35810 h 208"/>
            <a:gd name="T58" fmla="*/ 333375 w 202"/>
            <a:gd name="T59" fmla="*/ 46709 h 208"/>
            <a:gd name="T60" fmla="*/ 316871 w 202"/>
            <a:gd name="T61" fmla="*/ 91861 h 208"/>
            <a:gd name="T62" fmla="*/ 305319 w 202"/>
            <a:gd name="T63" fmla="*/ 102760 h 208"/>
            <a:gd name="T64" fmla="*/ 310270 w 202"/>
            <a:gd name="T65" fmla="*/ 174381 h 208"/>
            <a:gd name="T66" fmla="*/ 288815 w 202"/>
            <a:gd name="T67" fmla="*/ 189950 h 208"/>
            <a:gd name="T68" fmla="*/ 226101 w 202"/>
            <a:gd name="T69" fmla="*/ 194621 h 208"/>
            <a:gd name="T70" fmla="*/ 249206 w 202"/>
            <a:gd name="T71" fmla="*/ 219533 h 208"/>
            <a:gd name="T72" fmla="*/ 254157 w 202"/>
            <a:gd name="T73" fmla="*/ 261571 h 208"/>
            <a:gd name="T74" fmla="*/ 242605 w 202"/>
            <a:gd name="T75" fmla="*/ 292711 h 208"/>
            <a:gd name="T76" fmla="*/ 252507 w 202"/>
            <a:gd name="T77" fmla="*/ 312951 h 208"/>
            <a:gd name="T78" fmla="*/ 254157 w 202"/>
            <a:gd name="T79" fmla="*/ 312951 h 208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w 202"/>
            <a:gd name="T121" fmla="*/ 0 h 208"/>
            <a:gd name="T122" fmla="*/ 202 w 202"/>
            <a:gd name="T123" fmla="*/ 208 h 208"/>
          </a:gdLst>
          <a:ahLst/>
          <a:cxnLst>
            <a:cxn ang="T80">
              <a:pos x="T0" y="T1"/>
            </a:cxn>
            <a:cxn ang="T81">
              <a:pos x="T2" y="T3"/>
            </a:cxn>
            <a:cxn ang="T82">
              <a:pos x="T4" y="T5"/>
            </a:cxn>
            <a:cxn ang="T83">
              <a:pos x="T6" y="T7"/>
            </a:cxn>
            <a:cxn ang="T84">
              <a:pos x="T8" y="T9"/>
            </a:cxn>
            <a:cxn ang="T85">
              <a:pos x="T10" y="T11"/>
            </a:cxn>
            <a:cxn ang="T86">
              <a:pos x="T12" y="T13"/>
            </a:cxn>
            <a:cxn ang="T87">
              <a:pos x="T14" y="T15"/>
            </a:cxn>
            <a:cxn ang="T88">
              <a:pos x="T16" y="T17"/>
            </a:cxn>
            <a:cxn ang="T89">
              <a:pos x="T18" y="T19"/>
            </a:cxn>
            <a:cxn ang="T90">
              <a:pos x="T20" y="T21"/>
            </a:cxn>
            <a:cxn ang="T91">
              <a:pos x="T22" y="T23"/>
            </a:cxn>
            <a:cxn ang="T92">
              <a:pos x="T24" y="T25"/>
            </a:cxn>
            <a:cxn ang="T93">
              <a:pos x="T26" y="T27"/>
            </a:cxn>
            <a:cxn ang="T94">
              <a:pos x="T28" y="T29"/>
            </a:cxn>
            <a:cxn ang="T95">
              <a:pos x="T30" y="T31"/>
            </a:cxn>
            <a:cxn ang="T96">
              <a:pos x="T32" y="T33"/>
            </a:cxn>
            <a:cxn ang="T97">
              <a:pos x="T34" y="T35"/>
            </a:cxn>
            <a:cxn ang="T98">
              <a:pos x="T36" y="T37"/>
            </a:cxn>
            <a:cxn ang="T99">
              <a:pos x="T38" y="T39"/>
            </a:cxn>
            <a:cxn ang="T100">
              <a:pos x="T40" y="T41"/>
            </a:cxn>
            <a:cxn ang="T101">
              <a:pos x="T42" y="T43"/>
            </a:cxn>
            <a:cxn ang="T102">
              <a:pos x="T44" y="T45"/>
            </a:cxn>
            <a:cxn ang="T103">
              <a:pos x="T46" y="T47"/>
            </a:cxn>
            <a:cxn ang="T104">
              <a:pos x="T48" y="T49"/>
            </a:cxn>
            <a:cxn ang="T105">
              <a:pos x="T50" y="T51"/>
            </a:cxn>
            <a:cxn ang="T106">
              <a:pos x="T52" y="T53"/>
            </a:cxn>
            <a:cxn ang="T107">
              <a:pos x="T54" y="T55"/>
            </a:cxn>
            <a:cxn ang="T108">
              <a:pos x="T56" y="T57"/>
            </a:cxn>
            <a:cxn ang="T109">
              <a:pos x="T58" y="T59"/>
            </a:cxn>
            <a:cxn ang="T110">
              <a:pos x="T60" y="T61"/>
            </a:cxn>
            <a:cxn ang="T111">
              <a:pos x="T62" y="T63"/>
            </a:cxn>
            <a:cxn ang="T112">
              <a:pos x="T64" y="T65"/>
            </a:cxn>
            <a:cxn ang="T113">
              <a:pos x="T66" y="T67"/>
            </a:cxn>
            <a:cxn ang="T114">
              <a:pos x="T68" y="T69"/>
            </a:cxn>
            <a:cxn ang="T115">
              <a:pos x="T70" y="T71"/>
            </a:cxn>
            <a:cxn ang="T116">
              <a:pos x="T72" y="T73"/>
            </a:cxn>
            <a:cxn ang="T117">
              <a:pos x="T74" y="T75"/>
            </a:cxn>
            <a:cxn ang="T118">
              <a:pos x="T76" y="T77"/>
            </a:cxn>
            <a:cxn ang="T119">
              <a:pos x="T78" y="T79"/>
            </a:cxn>
          </a:cxnLst>
          <a:rect l="T120" t="T121" r="T122" b="T123"/>
          <a:pathLst>
            <a:path w="202" h="208">
              <a:moveTo>
                <a:pt x="151" y="205"/>
              </a:moveTo>
              <a:lnTo>
                <a:pt x="132" y="208"/>
              </a:lnTo>
              <a:lnTo>
                <a:pt x="133" y="181"/>
              </a:lnTo>
              <a:lnTo>
                <a:pt x="123" y="178"/>
              </a:lnTo>
              <a:lnTo>
                <a:pt x="106" y="174"/>
              </a:lnTo>
              <a:lnTo>
                <a:pt x="68" y="155"/>
              </a:lnTo>
              <a:lnTo>
                <a:pt x="55" y="174"/>
              </a:lnTo>
              <a:lnTo>
                <a:pt x="41" y="178"/>
              </a:lnTo>
              <a:lnTo>
                <a:pt x="14" y="174"/>
              </a:lnTo>
              <a:lnTo>
                <a:pt x="0" y="161"/>
              </a:lnTo>
              <a:lnTo>
                <a:pt x="14" y="158"/>
              </a:lnTo>
              <a:lnTo>
                <a:pt x="24" y="168"/>
              </a:lnTo>
              <a:lnTo>
                <a:pt x="27" y="155"/>
              </a:lnTo>
              <a:lnTo>
                <a:pt x="7" y="151"/>
              </a:lnTo>
              <a:lnTo>
                <a:pt x="21" y="135"/>
              </a:lnTo>
              <a:lnTo>
                <a:pt x="51" y="151"/>
              </a:lnTo>
              <a:lnTo>
                <a:pt x="48" y="128"/>
              </a:lnTo>
              <a:lnTo>
                <a:pt x="38" y="138"/>
              </a:lnTo>
              <a:lnTo>
                <a:pt x="27" y="132"/>
              </a:lnTo>
              <a:lnTo>
                <a:pt x="51" y="112"/>
              </a:lnTo>
              <a:lnTo>
                <a:pt x="68" y="86"/>
              </a:lnTo>
              <a:lnTo>
                <a:pt x="92" y="30"/>
              </a:lnTo>
              <a:lnTo>
                <a:pt x="99" y="23"/>
              </a:lnTo>
              <a:lnTo>
                <a:pt x="116" y="30"/>
              </a:lnTo>
              <a:lnTo>
                <a:pt x="134" y="20"/>
              </a:lnTo>
              <a:lnTo>
                <a:pt x="140" y="0"/>
              </a:lnTo>
              <a:lnTo>
                <a:pt x="192" y="0"/>
              </a:lnTo>
              <a:lnTo>
                <a:pt x="192" y="7"/>
              </a:lnTo>
              <a:lnTo>
                <a:pt x="192" y="23"/>
              </a:lnTo>
              <a:lnTo>
                <a:pt x="202" y="30"/>
              </a:lnTo>
              <a:lnTo>
                <a:pt x="192" y="59"/>
              </a:lnTo>
              <a:lnTo>
                <a:pt x="185" y="66"/>
              </a:lnTo>
              <a:lnTo>
                <a:pt x="188" y="112"/>
              </a:lnTo>
              <a:lnTo>
                <a:pt x="175" y="122"/>
              </a:lnTo>
              <a:lnTo>
                <a:pt x="137" y="125"/>
              </a:lnTo>
              <a:lnTo>
                <a:pt x="151" y="141"/>
              </a:lnTo>
              <a:lnTo>
                <a:pt x="154" y="168"/>
              </a:lnTo>
              <a:lnTo>
                <a:pt x="147" y="188"/>
              </a:lnTo>
              <a:lnTo>
                <a:pt x="153" y="201"/>
              </a:lnTo>
              <a:lnTo>
                <a:pt x="154" y="201"/>
              </a:lnTo>
            </a:path>
          </a:pathLst>
        </a:custGeom>
        <a:solidFill>
          <a:srgbClr val="5276A0"/>
        </a:solidFill>
        <a:ln w="3175">
          <a:solidFill>
            <a:srgbClr val="5276A0"/>
          </a:solidFill>
          <a:round/>
          <a:headEnd/>
          <a:tailEnd/>
        </a:ln>
      </xdr:spPr>
    </xdr:sp>
    <xdr:clientData/>
  </xdr:twoCellAnchor>
  <xdr:twoCellAnchor>
    <xdr:from>
      <xdr:col>3</xdr:col>
      <xdr:colOff>352425</xdr:colOff>
      <xdr:row>26</xdr:row>
      <xdr:rowOff>28575</xdr:rowOff>
    </xdr:from>
    <xdr:to>
      <xdr:col>3</xdr:col>
      <xdr:colOff>704850</xdr:colOff>
      <xdr:row>27</xdr:row>
      <xdr:rowOff>133350</xdr:rowOff>
    </xdr:to>
    <xdr:sp macro="" textlink="">
      <xdr:nvSpPr>
        <xdr:cNvPr id="25670" name="S_BEL"/>
        <xdr:cNvSpPr>
          <a:spLocks noChangeAspect="1"/>
        </xdr:cNvSpPr>
      </xdr:nvSpPr>
      <xdr:spPr bwMode="auto">
        <a:xfrm>
          <a:off x="1895475" y="4248150"/>
          <a:ext cx="352425" cy="266700"/>
        </a:xfrm>
        <a:custGeom>
          <a:avLst/>
          <a:gdLst>
            <a:gd name="T0" fmla="*/ 0 w 216"/>
            <a:gd name="T1" fmla="*/ 44450 h 168"/>
            <a:gd name="T2" fmla="*/ 48948 w 216"/>
            <a:gd name="T3" fmla="*/ 22225 h 168"/>
            <a:gd name="T4" fmla="*/ 65264 w 216"/>
            <a:gd name="T5" fmla="*/ 15875 h 168"/>
            <a:gd name="T6" fmla="*/ 88106 w 216"/>
            <a:gd name="T7" fmla="*/ 38100 h 168"/>
            <a:gd name="T8" fmla="*/ 132159 w 216"/>
            <a:gd name="T9" fmla="*/ 42862 h 168"/>
            <a:gd name="T10" fmla="*/ 153370 w 216"/>
            <a:gd name="T11" fmla="*/ 38100 h 168"/>
            <a:gd name="T12" fmla="*/ 187634 w 216"/>
            <a:gd name="T13" fmla="*/ 0 h 168"/>
            <a:gd name="T14" fmla="*/ 231687 w 216"/>
            <a:gd name="T15" fmla="*/ 22225 h 168"/>
            <a:gd name="T16" fmla="*/ 264319 w 216"/>
            <a:gd name="T17" fmla="*/ 38100 h 168"/>
            <a:gd name="T18" fmla="*/ 296951 w 216"/>
            <a:gd name="T19" fmla="*/ 42862 h 168"/>
            <a:gd name="T20" fmla="*/ 292056 w 216"/>
            <a:gd name="T21" fmla="*/ 87312 h 168"/>
            <a:gd name="T22" fmla="*/ 323056 w 216"/>
            <a:gd name="T23" fmla="*/ 85725 h 168"/>
            <a:gd name="T24" fmla="*/ 352425 w 216"/>
            <a:gd name="T25" fmla="*/ 142875 h 168"/>
            <a:gd name="T26" fmla="*/ 323056 w 216"/>
            <a:gd name="T27" fmla="*/ 185737 h 168"/>
            <a:gd name="T28" fmla="*/ 295319 w 216"/>
            <a:gd name="T29" fmla="*/ 200025 h 168"/>
            <a:gd name="T30" fmla="*/ 287161 w 216"/>
            <a:gd name="T31" fmla="*/ 228600 h 168"/>
            <a:gd name="T32" fmla="*/ 292056 w 216"/>
            <a:gd name="T33" fmla="*/ 266700 h 168"/>
            <a:gd name="T34" fmla="*/ 275740 w 216"/>
            <a:gd name="T35" fmla="*/ 261938 h 168"/>
            <a:gd name="T36" fmla="*/ 243108 w 216"/>
            <a:gd name="T37" fmla="*/ 228600 h 168"/>
            <a:gd name="T38" fmla="*/ 208844 w 216"/>
            <a:gd name="T39" fmla="*/ 217488 h 168"/>
            <a:gd name="T40" fmla="*/ 217002 w 216"/>
            <a:gd name="T41" fmla="*/ 173037 h 168"/>
            <a:gd name="T42" fmla="*/ 182739 w 216"/>
            <a:gd name="T43" fmla="*/ 195262 h 168"/>
            <a:gd name="T44" fmla="*/ 137054 w 216"/>
            <a:gd name="T45" fmla="*/ 195262 h 168"/>
            <a:gd name="T46" fmla="*/ 148475 w 216"/>
            <a:gd name="T47" fmla="*/ 147637 h 168"/>
            <a:gd name="T48" fmla="*/ 109317 w 216"/>
            <a:gd name="T49" fmla="*/ 142875 h 168"/>
            <a:gd name="T50" fmla="*/ 84843 w 216"/>
            <a:gd name="T51" fmla="*/ 111125 h 168"/>
            <a:gd name="T52" fmla="*/ 53843 w 216"/>
            <a:gd name="T53" fmla="*/ 111125 h 168"/>
            <a:gd name="T54" fmla="*/ 16316 w 216"/>
            <a:gd name="T55" fmla="*/ 49212 h 168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w 216"/>
            <a:gd name="T85" fmla="*/ 0 h 168"/>
            <a:gd name="T86" fmla="*/ 216 w 216"/>
            <a:gd name="T87" fmla="*/ 168 h 168"/>
          </a:gdLst>
          <a:ahLst/>
          <a:cxnLst>
            <a:cxn ang="T56">
              <a:pos x="T0" y="T1"/>
            </a:cxn>
            <a:cxn ang="T57">
              <a:pos x="T2" y="T3"/>
            </a:cxn>
            <a:cxn ang="T58">
              <a:pos x="T4" y="T5"/>
            </a:cxn>
            <a:cxn ang="T59">
              <a:pos x="T6" y="T7"/>
            </a:cxn>
            <a:cxn ang="T60">
              <a:pos x="T8" y="T9"/>
            </a:cxn>
            <a:cxn ang="T61">
              <a:pos x="T10" y="T11"/>
            </a:cxn>
            <a:cxn ang="T62">
              <a:pos x="T12" y="T13"/>
            </a:cxn>
            <a:cxn ang="T63">
              <a:pos x="T14" y="T15"/>
            </a:cxn>
            <a:cxn ang="T64">
              <a:pos x="T16" y="T17"/>
            </a:cxn>
            <a:cxn ang="T65">
              <a:pos x="T18" y="T19"/>
            </a:cxn>
            <a:cxn ang="T66">
              <a:pos x="T20" y="T21"/>
            </a:cxn>
            <a:cxn ang="T67">
              <a:pos x="T22" y="T23"/>
            </a:cxn>
            <a:cxn ang="T68">
              <a:pos x="T24" y="T25"/>
            </a:cxn>
            <a:cxn ang="T69">
              <a:pos x="T26" y="T27"/>
            </a:cxn>
            <a:cxn ang="T70">
              <a:pos x="T28" y="T29"/>
            </a:cxn>
            <a:cxn ang="T71">
              <a:pos x="T30" y="T31"/>
            </a:cxn>
            <a:cxn ang="T72">
              <a:pos x="T32" y="T33"/>
            </a:cxn>
            <a:cxn ang="T73">
              <a:pos x="T34" y="T35"/>
            </a:cxn>
            <a:cxn ang="T74">
              <a:pos x="T36" y="T37"/>
            </a:cxn>
            <a:cxn ang="T75">
              <a:pos x="T38" y="T39"/>
            </a:cxn>
            <a:cxn ang="T76">
              <a:pos x="T40" y="T41"/>
            </a:cxn>
            <a:cxn ang="T77">
              <a:pos x="T42" y="T43"/>
            </a:cxn>
            <a:cxn ang="T78">
              <a:pos x="T44" y="T45"/>
            </a:cxn>
            <a:cxn ang="T79">
              <a:pos x="T46" y="T47"/>
            </a:cxn>
            <a:cxn ang="T80">
              <a:pos x="T48" y="T49"/>
            </a:cxn>
            <a:cxn ang="T81">
              <a:pos x="T50" y="T51"/>
            </a:cxn>
            <a:cxn ang="T82">
              <a:pos x="T52" y="T53"/>
            </a:cxn>
            <a:cxn ang="T83">
              <a:pos x="T54" y="T55"/>
            </a:cxn>
          </a:cxnLst>
          <a:rect l="T84" t="T85" r="T86" b="T87"/>
          <a:pathLst>
            <a:path w="216" h="168">
              <a:moveTo>
                <a:pt x="0" y="28"/>
              </a:moveTo>
              <a:lnTo>
                <a:pt x="30" y="14"/>
              </a:lnTo>
              <a:lnTo>
                <a:pt x="40" y="10"/>
              </a:lnTo>
              <a:lnTo>
                <a:pt x="54" y="24"/>
              </a:lnTo>
              <a:lnTo>
                <a:pt x="81" y="27"/>
              </a:lnTo>
              <a:lnTo>
                <a:pt x="94" y="24"/>
              </a:lnTo>
              <a:lnTo>
                <a:pt x="115" y="0"/>
              </a:lnTo>
              <a:lnTo>
                <a:pt x="142" y="14"/>
              </a:lnTo>
              <a:lnTo>
                <a:pt x="162" y="24"/>
              </a:lnTo>
              <a:lnTo>
                <a:pt x="182" y="27"/>
              </a:lnTo>
              <a:lnTo>
                <a:pt x="179" y="55"/>
              </a:lnTo>
              <a:lnTo>
                <a:pt x="198" y="54"/>
              </a:lnTo>
              <a:lnTo>
                <a:pt x="216" y="90"/>
              </a:lnTo>
              <a:lnTo>
                <a:pt x="198" y="117"/>
              </a:lnTo>
              <a:lnTo>
                <a:pt x="181" y="126"/>
              </a:lnTo>
              <a:lnTo>
                <a:pt x="176" y="144"/>
              </a:lnTo>
              <a:lnTo>
                <a:pt x="179" y="168"/>
              </a:lnTo>
              <a:lnTo>
                <a:pt x="169" y="165"/>
              </a:lnTo>
              <a:lnTo>
                <a:pt x="149" y="144"/>
              </a:lnTo>
              <a:lnTo>
                <a:pt x="128" y="137"/>
              </a:lnTo>
              <a:lnTo>
                <a:pt x="133" y="109"/>
              </a:lnTo>
              <a:lnTo>
                <a:pt x="112" y="123"/>
              </a:lnTo>
              <a:lnTo>
                <a:pt x="84" y="123"/>
              </a:lnTo>
              <a:lnTo>
                <a:pt x="91" y="93"/>
              </a:lnTo>
              <a:lnTo>
                <a:pt x="67" y="90"/>
              </a:lnTo>
              <a:lnTo>
                <a:pt x="52" y="70"/>
              </a:lnTo>
              <a:lnTo>
                <a:pt x="33" y="70"/>
              </a:lnTo>
              <a:lnTo>
                <a:pt x="10" y="31"/>
              </a:lnTo>
            </a:path>
          </a:pathLst>
        </a:custGeom>
        <a:solidFill>
          <a:srgbClr val="668BB7"/>
        </a:solidFill>
        <a:ln w="3175">
          <a:solidFill>
            <a:srgbClr val="668BB7"/>
          </a:solidFill>
          <a:round/>
          <a:headEnd/>
          <a:tailEnd/>
        </a:ln>
      </xdr:spPr>
    </xdr:sp>
    <xdr:clientData/>
  </xdr:twoCellAnchor>
  <xdr:twoCellAnchor>
    <xdr:from>
      <xdr:col>3</xdr:col>
      <xdr:colOff>685800</xdr:colOff>
      <xdr:row>29</xdr:row>
      <xdr:rowOff>104775</xdr:rowOff>
    </xdr:from>
    <xdr:to>
      <xdr:col>5</xdr:col>
      <xdr:colOff>266700</xdr:colOff>
      <xdr:row>36</xdr:row>
      <xdr:rowOff>142875</xdr:rowOff>
    </xdr:to>
    <xdr:grpSp>
      <xdr:nvGrpSpPr>
        <xdr:cNvPr id="25671" name="S_ITA"/>
        <xdr:cNvGrpSpPr>
          <a:grpSpLocks/>
        </xdr:cNvGrpSpPr>
      </xdr:nvGrpSpPr>
      <xdr:grpSpPr bwMode="auto">
        <a:xfrm>
          <a:off x="2228850" y="5238750"/>
          <a:ext cx="1009650" cy="1171575"/>
          <a:chOff x="234" y="522"/>
          <a:chExt cx="106" cy="123"/>
        </a:xfrm>
      </xdr:grpSpPr>
      <xdr:sp macro="" textlink="">
        <xdr:nvSpPr>
          <xdr:cNvPr id="25690" name="S_ITA3"/>
          <xdr:cNvSpPr>
            <a:spLocks noChangeAspect="1"/>
          </xdr:cNvSpPr>
        </xdr:nvSpPr>
        <xdr:spPr bwMode="auto">
          <a:xfrm>
            <a:off x="234" y="522"/>
            <a:ext cx="106" cy="109"/>
          </a:xfrm>
          <a:custGeom>
            <a:avLst/>
            <a:gdLst>
              <a:gd name="T0" fmla="*/ 10 w 629"/>
              <a:gd name="T1" fmla="*/ 37 h 671"/>
              <a:gd name="T2" fmla="*/ 0 w 629"/>
              <a:gd name="T3" fmla="*/ 29 h 671"/>
              <a:gd name="T4" fmla="*/ 4 w 629"/>
              <a:gd name="T5" fmla="*/ 22 h 671"/>
              <a:gd name="T6" fmla="*/ 9 w 629"/>
              <a:gd name="T7" fmla="*/ 13 h 671"/>
              <a:gd name="T8" fmla="*/ 17 w 629"/>
              <a:gd name="T9" fmla="*/ 9 h 671"/>
              <a:gd name="T10" fmla="*/ 22 w 629"/>
              <a:gd name="T11" fmla="*/ 14 h 671"/>
              <a:gd name="T12" fmla="*/ 25 w 629"/>
              <a:gd name="T13" fmla="*/ 7 h 671"/>
              <a:gd name="T14" fmla="*/ 33 w 629"/>
              <a:gd name="T15" fmla="*/ 9 h 671"/>
              <a:gd name="T16" fmla="*/ 40 w 629"/>
              <a:gd name="T17" fmla="*/ 2 h 671"/>
              <a:gd name="T18" fmla="*/ 52 w 629"/>
              <a:gd name="T19" fmla="*/ 1 h 671"/>
              <a:gd name="T20" fmla="*/ 63 w 629"/>
              <a:gd name="T21" fmla="*/ 7 h 671"/>
              <a:gd name="T22" fmla="*/ 63 w 629"/>
              <a:gd name="T23" fmla="*/ 11 h 671"/>
              <a:gd name="T24" fmla="*/ 64 w 629"/>
              <a:gd name="T25" fmla="*/ 19 h 671"/>
              <a:gd name="T26" fmla="*/ 62 w 629"/>
              <a:gd name="T27" fmla="*/ 17 h 671"/>
              <a:gd name="T28" fmla="*/ 57 w 629"/>
              <a:gd name="T29" fmla="*/ 15 h 671"/>
              <a:gd name="T30" fmla="*/ 50 w 629"/>
              <a:gd name="T31" fmla="*/ 20 h 671"/>
              <a:gd name="T32" fmla="*/ 52 w 629"/>
              <a:gd name="T33" fmla="*/ 26 h 671"/>
              <a:gd name="T34" fmla="*/ 51 w 629"/>
              <a:gd name="T35" fmla="*/ 36 h 671"/>
              <a:gd name="T36" fmla="*/ 63 w 629"/>
              <a:gd name="T37" fmla="*/ 50 h 671"/>
              <a:gd name="T38" fmla="*/ 74 w 629"/>
              <a:gd name="T39" fmla="*/ 60 h 671"/>
              <a:gd name="T40" fmla="*/ 86 w 629"/>
              <a:gd name="T41" fmla="*/ 63 h 671"/>
              <a:gd name="T42" fmla="*/ 89 w 629"/>
              <a:gd name="T43" fmla="*/ 67 h 671"/>
              <a:gd name="T44" fmla="*/ 106 w 629"/>
              <a:gd name="T45" fmla="*/ 82 h 671"/>
              <a:gd name="T46" fmla="*/ 102 w 629"/>
              <a:gd name="T47" fmla="*/ 85 h 671"/>
              <a:gd name="T48" fmla="*/ 96 w 629"/>
              <a:gd name="T49" fmla="*/ 82 h 671"/>
              <a:gd name="T50" fmla="*/ 88 w 629"/>
              <a:gd name="T51" fmla="*/ 87 h 671"/>
              <a:gd name="T52" fmla="*/ 94 w 629"/>
              <a:gd name="T53" fmla="*/ 98 h 671"/>
              <a:gd name="T54" fmla="*/ 89 w 629"/>
              <a:gd name="T55" fmla="*/ 101 h 671"/>
              <a:gd name="T56" fmla="*/ 82 w 629"/>
              <a:gd name="T57" fmla="*/ 109 h 671"/>
              <a:gd name="T58" fmla="*/ 83 w 629"/>
              <a:gd name="T59" fmla="*/ 103 h 671"/>
              <a:gd name="T60" fmla="*/ 85 w 629"/>
              <a:gd name="T61" fmla="*/ 96 h 671"/>
              <a:gd name="T62" fmla="*/ 75 w 629"/>
              <a:gd name="T63" fmla="*/ 83 h 671"/>
              <a:gd name="T64" fmla="*/ 67 w 629"/>
              <a:gd name="T65" fmla="*/ 77 h 671"/>
              <a:gd name="T66" fmla="*/ 57 w 629"/>
              <a:gd name="T67" fmla="*/ 71 h 671"/>
              <a:gd name="T68" fmla="*/ 38 w 629"/>
              <a:gd name="T69" fmla="*/ 56 h 671"/>
              <a:gd name="T70" fmla="*/ 33 w 629"/>
              <a:gd name="T71" fmla="*/ 38 h 671"/>
              <a:gd name="T72" fmla="*/ 22 w 629"/>
              <a:gd name="T73" fmla="*/ 31 h 671"/>
              <a:gd name="T74" fmla="*/ 16 w 629"/>
              <a:gd name="T75" fmla="*/ 39 h 671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w 629"/>
              <a:gd name="T115" fmla="*/ 0 h 671"/>
              <a:gd name="T116" fmla="*/ 629 w 629"/>
              <a:gd name="T117" fmla="*/ 671 h 671"/>
            </a:gdLst>
            <a:ahLst/>
            <a:cxnLst>
              <a:cxn ang="T76">
                <a:pos x="T0" y="T1"/>
              </a:cxn>
              <a:cxn ang="T77">
                <a:pos x="T2" y="T3"/>
              </a:cxn>
              <a:cxn ang="T78">
                <a:pos x="T4" y="T5"/>
              </a:cxn>
              <a:cxn ang="T79">
                <a:pos x="T6" y="T7"/>
              </a:cxn>
              <a:cxn ang="T80">
                <a:pos x="T8" y="T9"/>
              </a:cxn>
              <a:cxn ang="T81">
                <a:pos x="T10" y="T11"/>
              </a:cxn>
              <a:cxn ang="T82">
                <a:pos x="T12" y="T13"/>
              </a:cxn>
              <a:cxn ang="T83">
                <a:pos x="T14" y="T15"/>
              </a:cxn>
              <a:cxn ang="T84">
                <a:pos x="T16" y="T17"/>
              </a:cxn>
              <a:cxn ang="T85">
                <a:pos x="T18" y="T19"/>
              </a:cxn>
              <a:cxn ang="T86">
                <a:pos x="T20" y="T21"/>
              </a:cxn>
              <a:cxn ang="T87">
                <a:pos x="T22" y="T23"/>
              </a:cxn>
              <a:cxn ang="T88">
                <a:pos x="T24" y="T25"/>
              </a:cxn>
              <a:cxn ang="T89">
                <a:pos x="T26" y="T27"/>
              </a:cxn>
              <a:cxn ang="T90">
                <a:pos x="T28" y="T29"/>
              </a:cxn>
              <a:cxn ang="T91">
                <a:pos x="T30" y="T31"/>
              </a:cxn>
              <a:cxn ang="T92">
                <a:pos x="T32" y="T33"/>
              </a:cxn>
              <a:cxn ang="T93">
                <a:pos x="T34" y="T35"/>
              </a:cxn>
              <a:cxn ang="T94">
                <a:pos x="T36" y="T37"/>
              </a:cxn>
              <a:cxn ang="T95">
                <a:pos x="T38" y="T39"/>
              </a:cxn>
              <a:cxn ang="T96">
                <a:pos x="T40" y="T41"/>
              </a:cxn>
              <a:cxn ang="T97">
                <a:pos x="T42" y="T43"/>
              </a:cxn>
              <a:cxn ang="T98">
                <a:pos x="T44" y="T45"/>
              </a:cxn>
              <a:cxn ang="T99">
                <a:pos x="T46" y="T47"/>
              </a:cxn>
              <a:cxn ang="T100">
                <a:pos x="T48" y="T49"/>
              </a:cxn>
              <a:cxn ang="T101">
                <a:pos x="T50" y="T51"/>
              </a:cxn>
              <a:cxn ang="T102">
                <a:pos x="T52" y="T53"/>
              </a:cxn>
              <a:cxn ang="T103">
                <a:pos x="T54" y="T55"/>
              </a:cxn>
              <a:cxn ang="T104">
                <a:pos x="T56" y="T57"/>
              </a:cxn>
              <a:cxn ang="T105">
                <a:pos x="T58" y="T59"/>
              </a:cxn>
              <a:cxn ang="T106">
                <a:pos x="T60" y="T61"/>
              </a:cxn>
              <a:cxn ang="T107">
                <a:pos x="T62" y="T63"/>
              </a:cxn>
              <a:cxn ang="T108">
                <a:pos x="T64" y="T65"/>
              </a:cxn>
              <a:cxn ang="T109">
                <a:pos x="T66" y="T67"/>
              </a:cxn>
              <a:cxn ang="T110">
                <a:pos x="T68" y="T69"/>
              </a:cxn>
              <a:cxn ang="T111">
                <a:pos x="T70" y="T71"/>
              </a:cxn>
              <a:cxn ang="T112">
                <a:pos x="T72" y="T73"/>
              </a:cxn>
              <a:cxn ang="T113">
                <a:pos x="T74" y="T75"/>
              </a:cxn>
            </a:cxnLst>
            <a:rect l="T114" t="T115" r="T116" b="T117"/>
            <a:pathLst>
              <a:path w="629" h="671">
                <a:moveTo>
                  <a:pt x="73" y="243"/>
                </a:moveTo>
                <a:lnTo>
                  <a:pt x="62" y="228"/>
                </a:lnTo>
                <a:lnTo>
                  <a:pt x="26" y="228"/>
                </a:lnTo>
                <a:lnTo>
                  <a:pt x="0" y="181"/>
                </a:lnTo>
                <a:lnTo>
                  <a:pt x="15" y="140"/>
                </a:lnTo>
                <a:lnTo>
                  <a:pt x="26" y="137"/>
                </a:lnTo>
                <a:lnTo>
                  <a:pt x="37" y="86"/>
                </a:lnTo>
                <a:lnTo>
                  <a:pt x="55" y="82"/>
                </a:lnTo>
                <a:lnTo>
                  <a:pt x="88" y="78"/>
                </a:lnTo>
                <a:lnTo>
                  <a:pt x="99" y="53"/>
                </a:lnTo>
                <a:lnTo>
                  <a:pt x="110" y="53"/>
                </a:lnTo>
                <a:lnTo>
                  <a:pt x="132" y="86"/>
                </a:lnTo>
                <a:lnTo>
                  <a:pt x="150" y="60"/>
                </a:lnTo>
                <a:lnTo>
                  <a:pt x="146" y="42"/>
                </a:lnTo>
                <a:lnTo>
                  <a:pt x="165" y="49"/>
                </a:lnTo>
                <a:lnTo>
                  <a:pt x="197" y="53"/>
                </a:lnTo>
                <a:lnTo>
                  <a:pt x="212" y="20"/>
                </a:lnTo>
                <a:lnTo>
                  <a:pt x="237" y="11"/>
                </a:lnTo>
                <a:lnTo>
                  <a:pt x="255" y="0"/>
                </a:lnTo>
                <a:lnTo>
                  <a:pt x="311" y="9"/>
                </a:lnTo>
                <a:lnTo>
                  <a:pt x="318" y="34"/>
                </a:lnTo>
                <a:lnTo>
                  <a:pt x="373" y="41"/>
                </a:lnTo>
                <a:lnTo>
                  <a:pt x="355" y="60"/>
                </a:lnTo>
                <a:lnTo>
                  <a:pt x="373" y="67"/>
                </a:lnTo>
                <a:lnTo>
                  <a:pt x="369" y="93"/>
                </a:lnTo>
                <a:lnTo>
                  <a:pt x="380" y="115"/>
                </a:lnTo>
                <a:lnTo>
                  <a:pt x="366" y="115"/>
                </a:lnTo>
                <a:lnTo>
                  <a:pt x="366" y="107"/>
                </a:lnTo>
                <a:lnTo>
                  <a:pt x="362" y="96"/>
                </a:lnTo>
                <a:lnTo>
                  <a:pt x="340" y="93"/>
                </a:lnTo>
                <a:lnTo>
                  <a:pt x="311" y="107"/>
                </a:lnTo>
                <a:lnTo>
                  <a:pt x="296" y="122"/>
                </a:lnTo>
                <a:lnTo>
                  <a:pt x="296" y="140"/>
                </a:lnTo>
                <a:lnTo>
                  <a:pt x="307" y="162"/>
                </a:lnTo>
                <a:lnTo>
                  <a:pt x="289" y="177"/>
                </a:lnTo>
                <a:lnTo>
                  <a:pt x="304" y="221"/>
                </a:lnTo>
                <a:lnTo>
                  <a:pt x="362" y="261"/>
                </a:lnTo>
                <a:lnTo>
                  <a:pt x="373" y="309"/>
                </a:lnTo>
                <a:lnTo>
                  <a:pt x="402" y="338"/>
                </a:lnTo>
                <a:lnTo>
                  <a:pt x="442" y="371"/>
                </a:lnTo>
                <a:lnTo>
                  <a:pt x="505" y="371"/>
                </a:lnTo>
                <a:lnTo>
                  <a:pt x="508" y="386"/>
                </a:lnTo>
                <a:lnTo>
                  <a:pt x="497" y="408"/>
                </a:lnTo>
                <a:lnTo>
                  <a:pt x="530" y="415"/>
                </a:lnTo>
                <a:lnTo>
                  <a:pt x="607" y="462"/>
                </a:lnTo>
                <a:lnTo>
                  <a:pt x="629" y="506"/>
                </a:lnTo>
                <a:lnTo>
                  <a:pt x="622" y="536"/>
                </a:lnTo>
                <a:lnTo>
                  <a:pt x="607" y="525"/>
                </a:lnTo>
                <a:lnTo>
                  <a:pt x="592" y="499"/>
                </a:lnTo>
                <a:lnTo>
                  <a:pt x="570" y="503"/>
                </a:lnTo>
                <a:lnTo>
                  <a:pt x="552" y="488"/>
                </a:lnTo>
                <a:lnTo>
                  <a:pt x="523" y="536"/>
                </a:lnTo>
                <a:lnTo>
                  <a:pt x="560" y="565"/>
                </a:lnTo>
                <a:lnTo>
                  <a:pt x="556" y="601"/>
                </a:lnTo>
                <a:lnTo>
                  <a:pt x="538" y="601"/>
                </a:lnTo>
                <a:lnTo>
                  <a:pt x="530" y="623"/>
                </a:lnTo>
                <a:lnTo>
                  <a:pt x="505" y="667"/>
                </a:lnTo>
                <a:lnTo>
                  <a:pt x="486" y="671"/>
                </a:lnTo>
                <a:lnTo>
                  <a:pt x="475" y="649"/>
                </a:lnTo>
                <a:lnTo>
                  <a:pt x="490" y="631"/>
                </a:lnTo>
                <a:lnTo>
                  <a:pt x="483" y="605"/>
                </a:lnTo>
                <a:lnTo>
                  <a:pt x="505" y="594"/>
                </a:lnTo>
                <a:lnTo>
                  <a:pt x="475" y="528"/>
                </a:lnTo>
                <a:lnTo>
                  <a:pt x="446" y="510"/>
                </a:lnTo>
                <a:lnTo>
                  <a:pt x="439" y="477"/>
                </a:lnTo>
                <a:lnTo>
                  <a:pt x="395" y="473"/>
                </a:lnTo>
                <a:lnTo>
                  <a:pt x="366" y="433"/>
                </a:lnTo>
                <a:lnTo>
                  <a:pt x="340" y="440"/>
                </a:lnTo>
                <a:lnTo>
                  <a:pt x="311" y="415"/>
                </a:lnTo>
                <a:lnTo>
                  <a:pt x="227" y="345"/>
                </a:lnTo>
                <a:lnTo>
                  <a:pt x="205" y="298"/>
                </a:lnTo>
                <a:lnTo>
                  <a:pt x="197" y="232"/>
                </a:lnTo>
                <a:lnTo>
                  <a:pt x="176" y="210"/>
                </a:lnTo>
                <a:lnTo>
                  <a:pt x="132" y="188"/>
                </a:lnTo>
                <a:lnTo>
                  <a:pt x="106" y="214"/>
                </a:lnTo>
                <a:lnTo>
                  <a:pt x="95" y="239"/>
                </a:lnTo>
                <a:lnTo>
                  <a:pt x="73" y="243"/>
                </a:lnTo>
              </a:path>
            </a:pathLst>
          </a:custGeom>
          <a:solidFill>
            <a:srgbClr val="32537B"/>
          </a:solidFill>
          <a:ln w="3175">
            <a:solidFill>
              <a:srgbClr val="32537B"/>
            </a:solidFill>
            <a:round/>
            <a:headEnd/>
            <a:tailEnd/>
          </a:ln>
        </xdr:spPr>
      </xdr:sp>
      <xdr:sp macro="" textlink="">
        <xdr:nvSpPr>
          <xdr:cNvPr id="25691" name="S_ITA2"/>
          <xdr:cNvSpPr>
            <a:spLocks noChangeAspect="1"/>
          </xdr:cNvSpPr>
        </xdr:nvSpPr>
        <xdr:spPr bwMode="auto">
          <a:xfrm>
            <a:off x="252" y="595"/>
            <a:ext cx="8" cy="25"/>
          </a:xfrm>
          <a:custGeom>
            <a:avLst/>
            <a:gdLst>
              <a:gd name="T0" fmla="*/ 5 w 49"/>
              <a:gd name="T1" fmla="*/ 0 h 153"/>
              <a:gd name="T2" fmla="*/ 8 w 49"/>
              <a:gd name="T3" fmla="*/ 2 h 153"/>
              <a:gd name="T4" fmla="*/ 8 w 49"/>
              <a:gd name="T5" fmla="*/ 8 h 153"/>
              <a:gd name="T6" fmla="*/ 7 w 49"/>
              <a:gd name="T7" fmla="*/ 11 h 153"/>
              <a:gd name="T8" fmla="*/ 8 w 49"/>
              <a:gd name="T9" fmla="*/ 14 h 153"/>
              <a:gd name="T10" fmla="*/ 7 w 49"/>
              <a:gd name="T11" fmla="*/ 21 h 153"/>
              <a:gd name="T12" fmla="*/ 5 w 49"/>
              <a:gd name="T13" fmla="*/ 21 h 153"/>
              <a:gd name="T14" fmla="*/ 5 w 49"/>
              <a:gd name="T15" fmla="*/ 23 h 153"/>
              <a:gd name="T16" fmla="*/ 3 w 49"/>
              <a:gd name="T17" fmla="*/ 25 h 153"/>
              <a:gd name="T18" fmla="*/ 2 w 49"/>
              <a:gd name="T19" fmla="*/ 22 h 153"/>
              <a:gd name="T20" fmla="*/ 1 w 49"/>
              <a:gd name="T21" fmla="*/ 18 h 153"/>
              <a:gd name="T22" fmla="*/ 2 w 49"/>
              <a:gd name="T23" fmla="*/ 17 h 153"/>
              <a:gd name="T24" fmla="*/ 2 w 49"/>
              <a:gd name="T25" fmla="*/ 15 h 153"/>
              <a:gd name="T26" fmla="*/ 1 w 49"/>
              <a:gd name="T27" fmla="*/ 14 h 153"/>
              <a:gd name="T28" fmla="*/ 1 w 49"/>
              <a:gd name="T29" fmla="*/ 8 h 153"/>
              <a:gd name="T30" fmla="*/ 0 w 49"/>
              <a:gd name="T31" fmla="*/ 8 h 153"/>
              <a:gd name="T32" fmla="*/ 0 w 49"/>
              <a:gd name="T33" fmla="*/ 5 h 153"/>
              <a:gd name="T34" fmla="*/ 2 w 49"/>
              <a:gd name="T35" fmla="*/ 4 h 153"/>
              <a:gd name="T36" fmla="*/ 5 w 49"/>
              <a:gd name="T37" fmla="*/ 0 h 153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w 49"/>
              <a:gd name="T58" fmla="*/ 0 h 153"/>
              <a:gd name="T59" fmla="*/ 49 w 49"/>
              <a:gd name="T60" fmla="*/ 153 h 153"/>
            </a:gdLst>
            <a:ahLst/>
            <a:cxnLst>
              <a:cxn ang="T38">
                <a:pos x="T0" y="T1"/>
              </a:cxn>
              <a:cxn ang="T39">
                <a:pos x="T2" y="T3"/>
              </a:cxn>
              <a:cxn ang="T40">
                <a:pos x="T4" y="T5"/>
              </a:cxn>
              <a:cxn ang="T41">
                <a:pos x="T6" y="T7"/>
              </a:cxn>
              <a:cxn ang="T42">
                <a:pos x="T8" y="T9"/>
              </a:cxn>
              <a:cxn ang="T43">
                <a:pos x="T10" y="T11"/>
              </a:cxn>
              <a:cxn ang="T44">
                <a:pos x="T12" y="T13"/>
              </a:cxn>
              <a:cxn ang="T45">
                <a:pos x="T14" y="T15"/>
              </a:cxn>
              <a:cxn ang="T46">
                <a:pos x="T16" y="T17"/>
              </a:cxn>
              <a:cxn ang="T47">
                <a:pos x="T18" y="T19"/>
              </a:cxn>
              <a:cxn ang="T48">
                <a:pos x="T20" y="T21"/>
              </a:cxn>
              <a:cxn ang="T49">
                <a:pos x="T22" y="T23"/>
              </a:cxn>
              <a:cxn ang="T50">
                <a:pos x="T24" y="T25"/>
              </a:cxn>
              <a:cxn ang="T51">
                <a:pos x="T26" y="T27"/>
              </a:cxn>
              <a:cxn ang="T52">
                <a:pos x="T28" y="T29"/>
              </a:cxn>
              <a:cxn ang="T53">
                <a:pos x="T30" y="T31"/>
              </a:cxn>
              <a:cxn ang="T54">
                <a:pos x="T32" y="T33"/>
              </a:cxn>
              <a:cxn ang="T55">
                <a:pos x="T34" y="T35"/>
              </a:cxn>
              <a:cxn ang="T56">
                <a:pos x="T36" y="T37"/>
              </a:cxn>
            </a:cxnLst>
            <a:rect l="T57" t="T58" r="T59" b="T60"/>
            <a:pathLst>
              <a:path w="49" h="153">
                <a:moveTo>
                  <a:pt x="32" y="0"/>
                </a:moveTo>
                <a:lnTo>
                  <a:pt x="46" y="13"/>
                </a:lnTo>
                <a:lnTo>
                  <a:pt x="48" y="48"/>
                </a:lnTo>
                <a:lnTo>
                  <a:pt x="41" y="67"/>
                </a:lnTo>
                <a:lnTo>
                  <a:pt x="46" y="86"/>
                </a:lnTo>
                <a:lnTo>
                  <a:pt x="41" y="130"/>
                </a:lnTo>
                <a:lnTo>
                  <a:pt x="32" y="127"/>
                </a:lnTo>
                <a:lnTo>
                  <a:pt x="32" y="139"/>
                </a:lnTo>
                <a:lnTo>
                  <a:pt x="21" y="152"/>
                </a:lnTo>
                <a:lnTo>
                  <a:pt x="11" y="136"/>
                </a:lnTo>
                <a:lnTo>
                  <a:pt x="7" y="108"/>
                </a:lnTo>
                <a:lnTo>
                  <a:pt x="14" y="105"/>
                </a:lnTo>
                <a:lnTo>
                  <a:pt x="14" y="89"/>
                </a:lnTo>
                <a:lnTo>
                  <a:pt x="7" y="86"/>
                </a:lnTo>
                <a:lnTo>
                  <a:pt x="9" y="51"/>
                </a:lnTo>
                <a:lnTo>
                  <a:pt x="0" y="51"/>
                </a:lnTo>
                <a:lnTo>
                  <a:pt x="0" y="29"/>
                </a:lnTo>
                <a:lnTo>
                  <a:pt x="14" y="25"/>
                </a:lnTo>
                <a:lnTo>
                  <a:pt x="32" y="0"/>
                </a:lnTo>
              </a:path>
            </a:pathLst>
          </a:custGeom>
          <a:solidFill>
            <a:srgbClr val="32537B"/>
          </a:solidFill>
          <a:ln w="3175">
            <a:solidFill>
              <a:srgbClr val="32537B"/>
            </a:solidFill>
            <a:round/>
            <a:headEnd/>
            <a:tailEnd/>
          </a:ln>
        </xdr:spPr>
      </xdr:sp>
      <xdr:sp macro="" textlink="">
        <xdr:nvSpPr>
          <xdr:cNvPr id="25692" name="S_ITA1"/>
          <xdr:cNvSpPr>
            <a:spLocks noChangeAspect="1"/>
          </xdr:cNvSpPr>
        </xdr:nvSpPr>
        <xdr:spPr bwMode="auto">
          <a:xfrm>
            <a:off x="288" y="630"/>
            <a:ext cx="24" cy="15"/>
          </a:xfrm>
          <a:custGeom>
            <a:avLst/>
            <a:gdLst>
              <a:gd name="T0" fmla="*/ 21 w 141"/>
              <a:gd name="T1" fmla="*/ 0 h 93"/>
              <a:gd name="T2" fmla="*/ 23 w 141"/>
              <a:gd name="T3" fmla="*/ 0 h 93"/>
              <a:gd name="T4" fmla="*/ 24 w 141"/>
              <a:gd name="T5" fmla="*/ 3 h 93"/>
              <a:gd name="T6" fmla="*/ 21 w 141"/>
              <a:gd name="T7" fmla="*/ 7 h 93"/>
              <a:gd name="T8" fmla="*/ 22 w 141"/>
              <a:gd name="T9" fmla="*/ 13 h 93"/>
              <a:gd name="T10" fmla="*/ 21 w 141"/>
              <a:gd name="T11" fmla="*/ 15 h 93"/>
              <a:gd name="T12" fmla="*/ 16 w 141"/>
              <a:gd name="T13" fmla="*/ 14 h 93"/>
              <a:gd name="T14" fmla="*/ 15 w 141"/>
              <a:gd name="T15" fmla="*/ 12 h 93"/>
              <a:gd name="T16" fmla="*/ 10 w 141"/>
              <a:gd name="T17" fmla="*/ 12 h 93"/>
              <a:gd name="T18" fmla="*/ 5 w 141"/>
              <a:gd name="T19" fmla="*/ 7 h 93"/>
              <a:gd name="T20" fmla="*/ 2 w 141"/>
              <a:gd name="T21" fmla="*/ 8 h 93"/>
              <a:gd name="T22" fmla="*/ 0 w 141"/>
              <a:gd name="T23" fmla="*/ 7 h 93"/>
              <a:gd name="T24" fmla="*/ 0 w 141"/>
              <a:gd name="T25" fmla="*/ 4 h 93"/>
              <a:gd name="T26" fmla="*/ 3 w 141"/>
              <a:gd name="T27" fmla="*/ 1 h 93"/>
              <a:gd name="T28" fmla="*/ 7 w 141"/>
              <a:gd name="T29" fmla="*/ 0 h 93"/>
              <a:gd name="T30" fmla="*/ 11 w 141"/>
              <a:gd name="T31" fmla="*/ 2 h 93"/>
              <a:gd name="T32" fmla="*/ 19 w 141"/>
              <a:gd name="T33" fmla="*/ 2 h 93"/>
              <a:gd name="T34" fmla="*/ 21 w 141"/>
              <a:gd name="T35" fmla="*/ 0 h 93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w 141"/>
              <a:gd name="T55" fmla="*/ 0 h 93"/>
              <a:gd name="T56" fmla="*/ 141 w 141"/>
              <a:gd name="T57" fmla="*/ 93 h 93"/>
            </a:gdLst>
            <a:ahLst/>
            <a:cxnLst>
              <a:cxn ang="T36">
                <a:pos x="T0" y="T1"/>
              </a:cxn>
              <a:cxn ang="T37">
                <a:pos x="T2" y="T3"/>
              </a:cxn>
              <a:cxn ang="T38">
                <a:pos x="T4" y="T5"/>
              </a:cxn>
              <a:cxn ang="T39">
                <a:pos x="T6" y="T7"/>
              </a:cxn>
              <a:cxn ang="T40">
                <a:pos x="T8" y="T9"/>
              </a:cxn>
              <a:cxn ang="T41">
                <a:pos x="T10" y="T11"/>
              </a:cxn>
              <a:cxn ang="T42">
                <a:pos x="T12" y="T13"/>
              </a:cxn>
              <a:cxn ang="T43">
                <a:pos x="T14" y="T15"/>
              </a:cxn>
              <a:cxn ang="T44">
                <a:pos x="T16" y="T17"/>
              </a:cxn>
              <a:cxn ang="T45">
                <a:pos x="T18" y="T19"/>
              </a:cxn>
              <a:cxn ang="T46">
                <a:pos x="T20" y="T21"/>
              </a:cxn>
              <a:cxn ang="T47">
                <a:pos x="T22" y="T23"/>
              </a:cxn>
              <a:cxn ang="T48">
                <a:pos x="T24" y="T25"/>
              </a:cxn>
              <a:cxn ang="T49">
                <a:pos x="T26" y="T27"/>
              </a:cxn>
              <a:cxn ang="T50">
                <a:pos x="T28" y="T29"/>
              </a:cxn>
              <a:cxn ang="T51">
                <a:pos x="T30" y="T31"/>
              </a:cxn>
              <a:cxn ang="T52">
                <a:pos x="T32" y="T33"/>
              </a:cxn>
              <a:cxn ang="T53">
                <a:pos x="T34" y="T35"/>
              </a:cxn>
            </a:cxnLst>
            <a:rect l="T54" t="T55" r="T56" b="T57"/>
            <a:pathLst>
              <a:path w="141" h="93">
                <a:moveTo>
                  <a:pt x="121" y="3"/>
                </a:moveTo>
                <a:lnTo>
                  <a:pt x="134" y="3"/>
                </a:lnTo>
                <a:lnTo>
                  <a:pt x="140" y="17"/>
                </a:lnTo>
                <a:lnTo>
                  <a:pt x="124" y="43"/>
                </a:lnTo>
                <a:lnTo>
                  <a:pt x="128" y="81"/>
                </a:lnTo>
                <a:lnTo>
                  <a:pt x="121" y="92"/>
                </a:lnTo>
                <a:lnTo>
                  <a:pt x="93" y="89"/>
                </a:lnTo>
                <a:lnTo>
                  <a:pt x="87" y="72"/>
                </a:lnTo>
                <a:lnTo>
                  <a:pt x="56" y="72"/>
                </a:lnTo>
                <a:lnTo>
                  <a:pt x="28" y="46"/>
                </a:lnTo>
                <a:lnTo>
                  <a:pt x="12" y="52"/>
                </a:lnTo>
                <a:lnTo>
                  <a:pt x="0" y="43"/>
                </a:lnTo>
                <a:lnTo>
                  <a:pt x="0" y="26"/>
                </a:lnTo>
                <a:lnTo>
                  <a:pt x="19" y="6"/>
                </a:lnTo>
                <a:lnTo>
                  <a:pt x="40" y="0"/>
                </a:lnTo>
                <a:lnTo>
                  <a:pt x="62" y="12"/>
                </a:lnTo>
                <a:lnTo>
                  <a:pt x="112" y="12"/>
                </a:lnTo>
                <a:lnTo>
                  <a:pt x="121" y="3"/>
                </a:lnTo>
              </a:path>
            </a:pathLst>
          </a:custGeom>
          <a:solidFill>
            <a:srgbClr val="32537B"/>
          </a:solidFill>
          <a:ln w="3175">
            <a:solidFill>
              <a:srgbClr val="32537B"/>
            </a:solidFill>
            <a:round/>
            <a:headEnd/>
            <a:tailEnd/>
          </a:ln>
        </xdr:spPr>
      </xdr:sp>
    </xdr:grpSp>
    <xdr:clientData/>
  </xdr:twoCellAnchor>
  <xdr:twoCellAnchor>
    <xdr:from>
      <xdr:col>3</xdr:col>
      <xdr:colOff>685800</xdr:colOff>
      <xdr:row>29</xdr:row>
      <xdr:rowOff>38100</xdr:rowOff>
    </xdr:from>
    <xdr:to>
      <xdr:col>4</xdr:col>
      <xdr:colOff>314325</xdr:colOff>
      <xdr:row>30</xdr:row>
      <xdr:rowOff>85725</xdr:rowOff>
    </xdr:to>
    <xdr:sp macro="" textlink="">
      <xdr:nvSpPr>
        <xdr:cNvPr id="25672" name="S_CHE"/>
        <xdr:cNvSpPr>
          <a:spLocks noChangeAspect="1"/>
        </xdr:cNvSpPr>
      </xdr:nvSpPr>
      <xdr:spPr bwMode="auto">
        <a:xfrm>
          <a:off x="2228850" y="4743450"/>
          <a:ext cx="342900" cy="209550"/>
        </a:xfrm>
        <a:custGeom>
          <a:avLst/>
          <a:gdLst>
            <a:gd name="T0" fmla="*/ 123959 w 213"/>
            <a:gd name="T1" fmla="*/ 0 h 136"/>
            <a:gd name="T2" fmla="*/ 151327 w 213"/>
            <a:gd name="T3" fmla="*/ 16949 h 136"/>
            <a:gd name="T4" fmla="*/ 191573 w 213"/>
            <a:gd name="T5" fmla="*/ 0 h 136"/>
            <a:gd name="T6" fmla="*/ 230210 w 213"/>
            <a:gd name="T7" fmla="*/ 0 h 136"/>
            <a:gd name="T8" fmla="*/ 286555 w 213"/>
            <a:gd name="T9" fmla="*/ 16949 h 136"/>
            <a:gd name="T10" fmla="*/ 275286 w 213"/>
            <a:gd name="T11" fmla="*/ 83204 h 136"/>
            <a:gd name="T12" fmla="*/ 294604 w 213"/>
            <a:gd name="T13" fmla="*/ 95530 h 136"/>
            <a:gd name="T14" fmla="*/ 320362 w 213"/>
            <a:gd name="T15" fmla="*/ 83204 h 136"/>
            <a:gd name="T16" fmla="*/ 342900 w 213"/>
            <a:gd name="T17" fmla="*/ 104775 h 136"/>
            <a:gd name="T18" fmla="*/ 320362 w 213"/>
            <a:gd name="T19" fmla="*/ 154081 h 136"/>
            <a:gd name="T20" fmla="*/ 270456 w 213"/>
            <a:gd name="T21" fmla="*/ 147918 h 136"/>
            <a:gd name="T22" fmla="*/ 241479 w 213"/>
            <a:gd name="T23" fmla="*/ 137132 h 136"/>
            <a:gd name="T24" fmla="*/ 247918 w 213"/>
            <a:gd name="T25" fmla="*/ 164867 h 136"/>
            <a:gd name="T26" fmla="*/ 212501 w 213"/>
            <a:gd name="T27" fmla="*/ 209550 h 136"/>
            <a:gd name="T28" fmla="*/ 188354 w 213"/>
            <a:gd name="T29" fmla="*/ 164867 h 136"/>
            <a:gd name="T30" fmla="*/ 169035 w 213"/>
            <a:gd name="T31" fmla="*/ 154081 h 136"/>
            <a:gd name="T32" fmla="*/ 151327 w 213"/>
            <a:gd name="T33" fmla="*/ 192601 h 136"/>
            <a:gd name="T34" fmla="*/ 101421 w 213"/>
            <a:gd name="T35" fmla="*/ 197224 h 136"/>
            <a:gd name="T36" fmla="*/ 72444 w 213"/>
            <a:gd name="T37" fmla="*/ 203387 h 136"/>
            <a:gd name="T38" fmla="*/ 61175 w 213"/>
            <a:gd name="T39" fmla="*/ 143295 h 136"/>
            <a:gd name="T40" fmla="*/ 45076 w 213"/>
            <a:gd name="T41" fmla="*/ 143295 h 136"/>
            <a:gd name="T42" fmla="*/ 3220 w 213"/>
            <a:gd name="T43" fmla="*/ 187979 h 136"/>
            <a:gd name="T44" fmla="*/ 0 w 213"/>
            <a:gd name="T45" fmla="*/ 137132 h 136"/>
            <a:gd name="T46" fmla="*/ 49906 w 213"/>
            <a:gd name="T47" fmla="*/ 66255 h 136"/>
            <a:gd name="T48" fmla="*/ 49906 w 213"/>
            <a:gd name="T49" fmla="*/ 32357 h 136"/>
            <a:gd name="T50" fmla="*/ 101421 w 213"/>
            <a:gd name="T51" fmla="*/ 21571 h 136"/>
            <a:gd name="T52" fmla="*/ 123959 w 213"/>
            <a:gd name="T53" fmla="*/ 0 h 1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w 213"/>
            <a:gd name="T82" fmla="*/ 0 h 136"/>
            <a:gd name="T83" fmla="*/ 213 w 213"/>
            <a:gd name="T84" fmla="*/ 136 h 136"/>
          </a:gdLst>
          <a:ahLst/>
          <a:cxnLst>
            <a:cxn ang="T54">
              <a:pos x="T0" y="T1"/>
            </a:cxn>
            <a:cxn ang="T55">
              <a:pos x="T2" y="T3"/>
            </a:cxn>
            <a:cxn ang="T56">
              <a:pos x="T4" y="T5"/>
            </a:cxn>
            <a:cxn ang="T57">
              <a:pos x="T6" y="T7"/>
            </a:cxn>
            <a:cxn ang="T58">
              <a:pos x="T8" y="T9"/>
            </a:cxn>
            <a:cxn ang="T59">
              <a:pos x="T10" y="T11"/>
            </a:cxn>
            <a:cxn ang="T60">
              <a:pos x="T12" y="T13"/>
            </a:cxn>
            <a:cxn ang="T61">
              <a:pos x="T14" y="T15"/>
            </a:cxn>
            <a:cxn ang="T62">
              <a:pos x="T16" y="T17"/>
            </a:cxn>
            <a:cxn ang="T63">
              <a:pos x="T18" y="T19"/>
            </a:cxn>
            <a:cxn ang="T64">
              <a:pos x="T20" y="T21"/>
            </a:cxn>
            <a:cxn ang="T65">
              <a:pos x="T22" y="T23"/>
            </a:cxn>
            <a:cxn ang="T66">
              <a:pos x="T24" y="T25"/>
            </a:cxn>
            <a:cxn ang="T67">
              <a:pos x="T26" y="T27"/>
            </a:cxn>
            <a:cxn ang="T68">
              <a:pos x="T28" y="T29"/>
            </a:cxn>
            <a:cxn ang="T69">
              <a:pos x="T30" y="T31"/>
            </a:cxn>
            <a:cxn ang="T70">
              <a:pos x="T32" y="T33"/>
            </a:cxn>
            <a:cxn ang="T71">
              <a:pos x="T34" y="T35"/>
            </a:cxn>
            <a:cxn ang="T72">
              <a:pos x="T36" y="T37"/>
            </a:cxn>
            <a:cxn ang="T73">
              <a:pos x="T38" y="T39"/>
            </a:cxn>
            <a:cxn ang="T74">
              <a:pos x="T40" y="T41"/>
            </a:cxn>
            <a:cxn ang="T75">
              <a:pos x="T42" y="T43"/>
            </a:cxn>
            <a:cxn ang="T76">
              <a:pos x="T44" y="T45"/>
            </a:cxn>
            <a:cxn ang="T77">
              <a:pos x="T46" y="T47"/>
            </a:cxn>
            <a:cxn ang="T78">
              <a:pos x="T48" y="T49"/>
            </a:cxn>
            <a:cxn ang="T79">
              <a:pos x="T50" y="T51"/>
            </a:cxn>
            <a:cxn ang="T80">
              <a:pos x="T52" y="T53"/>
            </a:cxn>
          </a:cxnLst>
          <a:rect l="T81" t="T82" r="T83" b="T84"/>
          <a:pathLst>
            <a:path w="213" h="136">
              <a:moveTo>
                <a:pt x="77" y="0"/>
              </a:moveTo>
              <a:lnTo>
                <a:pt x="94" y="11"/>
              </a:lnTo>
              <a:lnTo>
                <a:pt x="119" y="0"/>
              </a:lnTo>
              <a:lnTo>
                <a:pt x="143" y="0"/>
              </a:lnTo>
              <a:lnTo>
                <a:pt x="178" y="11"/>
              </a:lnTo>
              <a:lnTo>
                <a:pt x="171" y="54"/>
              </a:lnTo>
              <a:lnTo>
                <a:pt x="183" y="62"/>
              </a:lnTo>
              <a:lnTo>
                <a:pt x="199" y="54"/>
              </a:lnTo>
              <a:lnTo>
                <a:pt x="213" y="68"/>
              </a:lnTo>
              <a:lnTo>
                <a:pt x="199" y="100"/>
              </a:lnTo>
              <a:lnTo>
                <a:pt x="168" y="96"/>
              </a:lnTo>
              <a:lnTo>
                <a:pt x="150" y="89"/>
              </a:lnTo>
              <a:lnTo>
                <a:pt x="154" y="107"/>
              </a:lnTo>
              <a:lnTo>
                <a:pt x="132" y="136"/>
              </a:lnTo>
              <a:lnTo>
                <a:pt x="117" y="107"/>
              </a:lnTo>
              <a:lnTo>
                <a:pt x="105" y="100"/>
              </a:lnTo>
              <a:lnTo>
                <a:pt x="94" y="125"/>
              </a:lnTo>
              <a:lnTo>
                <a:pt x="63" y="128"/>
              </a:lnTo>
              <a:lnTo>
                <a:pt x="45" y="132"/>
              </a:lnTo>
              <a:lnTo>
                <a:pt x="38" y="93"/>
              </a:lnTo>
              <a:lnTo>
                <a:pt x="28" y="93"/>
              </a:lnTo>
              <a:lnTo>
                <a:pt x="2" y="122"/>
              </a:lnTo>
              <a:lnTo>
                <a:pt x="0" y="89"/>
              </a:lnTo>
              <a:lnTo>
                <a:pt x="31" y="43"/>
              </a:lnTo>
              <a:lnTo>
                <a:pt x="31" y="21"/>
              </a:lnTo>
              <a:lnTo>
                <a:pt x="63" y="14"/>
              </a:lnTo>
              <a:lnTo>
                <a:pt x="77" y="0"/>
              </a:lnTo>
            </a:path>
          </a:pathLst>
        </a:custGeom>
        <a:solidFill>
          <a:srgbClr val="8DB4E3"/>
        </a:solidFill>
        <a:ln w="3175">
          <a:solidFill>
            <a:srgbClr val="8DB4E3"/>
          </a:solidFill>
          <a:round/>
          <a:headEnd/>
          <a:tailEnd/>
        </a:ln>
      </xdr:spPr>
    </xdr:sp>
    <xdr:clientData/>
  </xdr:twoCellAnchor>
  <xdr:twoCellAnchor>
    <xdr:from>
      <xdr:col>2</xdr:col>
      <xdr:colOff>476250</xdr:colOff>
      <xdr:row>26</xdr:row>
      <xdr:rowOff>66675</xdr:rowOff>
    </xdr:from>
    <xdr:to>
      <xdr:col>4</xdr:col>
      <xdr:colOff>219075</xdr:colOff>
      <xdr:row>33</xdr:row>
      <xdr:rowOff>85725</xdr:rowOff>
    </xdr:to>
    <xdr:grpSp>
      <xdr:nvGrpSpPr>
        <xdr:cNvPr id="25673" name="S_FRA"/>
        <xdr:cNvGrpSpPr>
          <a:grpSpLocks/>
        </xdr:cNvGrpSpPr>
      </xdr:nvGrpSpPr>
      <xdr:grpSpPr bwMode="auto">
        <a:xfrm>
          <a:off x="1304925" y="4714875"/>
          <a:ext cx="1171575" cy="1152525"/>
          <a:chOff x="137" y="467"/>
          <a:chExt cx="123" cy="121"/>
        </a:xfrm>
      </xdr:grpSpPr>
      <xdr:sp macro="" textlink="">
        <xdr:nvSpPr>
          <xdr:cNvPr id="25688" name="S_FRA2"/>
          <xdr:cNvSpPr>
            <a:spLocks noChangeAspect="1"/>
          </xdr:cNvSpPr>
        </xdr:nvSpPr>
        <xdr:spPr bwMode="auto">
          <a:xfrm>
            <a:off x="254" y="574"/>
            <a:ext cx="6" cy="14"/>
          </a:xfrm>
          <a:custGeom>
            <a:avLst/>
            <a:gdLst>
              <a:gd name="T0" fmla="*/ 1 w 32"/>
              <a:gd name="T1" fmla="*/ 4 h 88"/>
              <a:gd name="T2" fmla="*/ 3 w 32"/>
              <a:gd name="T3" fmla="*/ 3 h 88"/>
              <a:gd name="T4" fmla="*/ 3 w 32"/>
              <a:gd name="T5" fmla="*/ 0 h 88"/>
              <a:gd name="T6" fmla="*/ 4 w 32"/>
              <a:gd name="T7" fmla="*/ 0 h 88"/>
              <a:gd name="T8" fmla="*/ 6 w 32"/>
              <a:gd name="T9" fmla="*/ 6 h 88"/>
              <a:gd name="T10" fmla="*/ 4 w 32"/>
              <a:gd name="T11" fmla="*/ 13 h 88"/>
              <a:gd name="T12" fmla="*/ 2 w 32"/>
              <a:gd name="T13" fmla="*/ 14 h 88"/>
              <a:gd name="T14" fmla="*/ 0 w 32"/>
              <a:gd name="T15" fmla="*/ 10 h 88"/>
              <a:gd name="T16" fmla="*/ 1 w 32"/>
              <a:gd name="T17" fmla="*/ 8 h 88"/>
              <a:gd name="T18" fmla="*/ 1 w 32"/>
              <a:gd name="T19" fmla="*/ 4 h 88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w 32"/>
              <a:gd name="T31" fmla="*/ 0 h 88"/>
              <a:gd name="T32" fmla="*/ 32 w 32"/>
              <a:gd name="T33" fmla="*/ 88 h 88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T30" t="T31" r="T32" b="T33"/>
            <a:pathLst>
              <a:path w="32" h="88">
                <a:moveTo>
                  <a:pt x="4" y="28"/>
                </a:moveTo>
                <a:lnTo>
                  <a:pt x="16" y="17"/>
                </a:lnTo>
                <a:lnTo>
                  <a:pt x="17" y="3"/>
                </a:lnTo>
                <a:lnTo>
                  <a:pt x="23" y="0"/>
                </a:lnTo>
                <a:lnTo>
                  <a:pt x="31" y="39"/>
                </a:lnTo>
                <a:lnTo>
                  <a:pt x="23" y="81"/>
                </a:lnTo>
                <a:lnTo>
                  <a:pt x="10" y="87"/>
                </a:lnTo>
                <a:lnTo>
                  <a:pt x="0" y="62"/>
                </a:lnTo>
                <a:lnTo>
                  <a:pt x="4" y="51"/>
                </a:lnTo>
                <a:lnTo>
                  <a:pt x="4" y="28"/>
                </a:lnTo>
              </a:path>
            </a:pathLst>
          </a:custGeom>
          <a:solidFill>
            <a:srgbClr val="25456C"/>
          </a:solidFill>
          <a:ln w="3175">
            <a:solidFill>
              <a:srgbClr val="25456C"/>
            </a:solidFill>
            <a:round/>
            <a:headEnd/>
            <a:tailEnd/>
          </a:ln>
        </xdr:spPr>
      </xdr:sp>
      <xdr:sp macro="" textlink="">
        <xdr:nvSpPr>
          <xdr:cNvPr id="25689" name="S_FRA1"/>
          <xdr:cNvSpPr>
            <a:spLocks noChangeAspect="1"/>
          </xdr:cNvSpPr>
        </xdr:nvSpPr>
        <xdr:spPr bwMode="auto">
          <a:xfrm>
            <a:off x="137" y="467"/>
            <a:ext cx="113" cy="113"/>
          </a:xfrm>
          <a:custGeom>
            <a:avLst/>
            <a:gdLst>
              <a:gd name="T0" fmla="*/ 69 w 673"/>
              <a:gd name="T1" fmla="*/ 7 h 692"/>
              <a:gd name="T2" fmla="*/ 74 w 673"/>
              <a:gd name="T3" fmla="*/ 11 h 692"/>
              <a:gd name="T4" fmla="*/ 78 w 673"/>
              <a:gd name="T5" fmla="*/ 16 h 692"/>
              <a:gd name="T6" fmla="*/ 85 w 673"/>
              <a:gd name="T7" fmla="*/ 12 h 692"/>
              <a:gd name="T8" fmla="*/ 88 w 673"/>
              <a:gd name="T9" fmla="*/ 20 h 692"/>
              <a:gd name="T10" fmla="*/ 94 w 673"/>
              <a:gd name="T11" fmla="*/ 24 h 692"/>
              <a:gd name="T12" fmla="*/ 100 w 673"/>
              <a:gd name="T13" fmla="*/ 24 h 692"/>
              <a:gd name="T14" fmla="*/ 107 w 673"/>
              <a:gd name="T15" fmla="*/ 26 h 692"/>
              <a:gd name="T16" fmla="*/ 113 w 673"/>
              <a:gd name="T17" fmla="*/ 32 h 692"/>
              <a:gd name="T18" fmla="*/ 110 w 673"/>
              <a:gd name="T19" fmla="*/ 47 h 692"/>
              <a:gd name="T20" fmla="*/ 103 w 673"/>
              <a:gd name="T21" fmla="*/ 52 h 692"/>
              <a:gd name="T22" fmla="*/ 98 w 673"/>
              <a:gd name="T23" fmla="*/ 62 h 692"/>
              <a:gd name="T24" fmla="*/ 101 w 673"/>
              <a:gd name="T25" fmla="*/ 63 h 692"/>
              <a:gd name="T26" fmla="*/ 104 w 673"/>
              <a:gd name="T27" fmla="*/ 69 h 692"/>
              <a:gd name="T28" fmla="*/ 101 w 673"/>
              <a:gd name="T29" fmla="*/ 78 h 692"/>
              <a:gd name="T30" fmla="*/ 103 w 673"/>
              <a:gd name="T31" fmla="*/ 92 h 692"/>
              <a:gd name="T32" fmla="*/ 111 w 673"/>
              <a:gd name="T33" fmla="*/ 95 h 692"/>
              <a:gd name="T34" fmla="*/ 102 w 673"/>
              <a:gd name="T35" fmla="*/ 102 h 692"/>
              <a:gd name="T36" fmla="*/ 88 w 673"/>
              <a:gd name="T37" fmla="*/ 102 h 692"/>
              <a:gd name="T38" fmla="*/ 82 w 673"/>
              <a:gd name="T39" fmla="*/ 103 h 692"/>
              <a:gd name="T40" fmla="*/ 73 w 673"/>
              <a:gd name="T41" fmla="*/ 104 h 692"/>
              <a:gd name="T42" fmla="*/ 67 w 673"/>
              <a:gd name="T43" fmla="*/ 113 h 692"/>
              <a:gd name="T44" fmla="*/ 57 w 673"/>
              <a:gd name="T45" fmla="*/ 109 h 692"/>
              <a:gd name="T46" fmla="*/ 42 w 673"/>
              <a:gd name="T47" fmla="*/ 110 h 692"/>
              <a:gd name="T48" fmla="*/ 31 w 673"/>
              <a:gd name="T49" fmla="*/ 105 h 692"/>
              <a:gd name="T50" fmla="*/ 30 w 673"/>
              <a:gd name="T51" fmla="*/ 99 h 692"/>
              <a:gd name="T52" fmla="*/ 35 w 673"/>
              <a:gd name="T53" fmla="*/ 86 h 692"/>
              <a:gd name="T54" fmla="*/ 31 w 673"/>
              <a:gd name="T55" fmla="*/ 84 h 692"/>
              <a:gd name="T56" fmla="*/ 36 w 673"/>
              <a:gd name="T57" fmla="*/ 78 h 692"/>
              <a:gd name="T58" fmla="*/ 31 w 673"/>
              <a:gd name="T59" fmla="*/ 72 h 692"/>
              <a:gd name="T60" fmla="*/ 32 w 673"/>
              <a:gd name="T61" fmla="*/ 71 h 692"/>
              <a:gd name="T62" fmla="*/ 28 w 673"/>
              <a:gd name="T63" fmla="*/ 64 h 692"/>
              <a:gd name="T64" fmla="*/ 26 w 673"/>
              <a:gd name="T65" fmla="*/ 54 h 692"/>
              <a:gd name="T66" fmla="*/ 24 w 673"/>
              <a:gd name="T67" fmla="*/ 51 h 692"/>
              <a:gd name="T68" fmla="*/ 16 w 673"/>
              <a:gd name="T69" fmla="*/ 51 h 692"/>
              <a:gd name="T70" fmla="*/ 6 w 673"/>
              <a:gd name="T71" fmla="*/ 44 h 692"/>
              <a:gd name="T72" fmla="*/ 1 w 673"/>
              <a:gd name="T73" fmla="*/ 44 h 692"/>
              <a:gd name="T74" fmla="*/ 5 w 673"/>
              <a:gd name="T75" fmla="*/ 40 h 692"/>
              <a:gd name="T76" fmla="*/ 1 w 673"/>
              <a:gd name="T77" fmla="*/ 40 h 692"/>
              <a:gd name="T78" fmla="*/ 3 w 673"/>
              <a:gd name="T79" fmla="*/ 35 h 692"/>
              <a:gd name="T80" fmla="*/ 8 w 673"/>
              <a:gd name="T81" fmla="*/ 35 h 692"/>
              <a:gd name="T82" fmla="*/ 12 w 673"/>
              <a:gd name="T83" fmla="*/ 32 h 692"/>
              <a:gd name="T84" fmla="*/ 21 w 673"/>
              <a:gd name="T85" fmla="*/ 36 h 692"/>
              <a:gd name="T86" fmla="*/ 26 w 673"/>
              <a:gd name="T87" fmla="*/ 35 h 692"/>
              <a:gd name="T88" fmla="*/ 28 w 673"/>
              <a:gd name="T89" fmla="*/ 33 h 692"/>
              <a:gd name="T90" fmla="*/ 26 w 673"/>
              <a:gd name="T91" fmla="*/ 25 h 692"/>
              <a:gd name="T92" fmla="*/ 31 w 673"/>
              <a:gd name="T93" fmla="*/ 20 h 692"/>
              <a:gd name="T94" fmla="*/ 34 w 673"/>
              <a:gd name="T95" fmla="*/ 24 h 692"/>
              <a:gd name="T96" fmla="*/ 45 w 673"/>
              <a:gd name="T97" fmla="*/ 24 h 692"/>
              <a:gd name="T98" fmla="*/ 47 w 673"/>
              <a:gd name="T99" fmla="*/ 19 h 692"/>
              <a:gd name="T100" fmla="*/ 55 w 673"/>
              <a:gd name="T101" fmla="*/ 16 h 692"/>
              <a:gd name="T102" fmla="*/ 60 w 673"/>
              <a:gd name="T103" fmla="*/ 15 h 692"/>
              <a:gd name="T104" fmla="*/ 59 w 673"/>
              <a:gd name="T105" fmla="*/ 8 h 692"/>
              <a:gd name="T106" fmla="*/ 64 w 673"/>
              <a:gd name="T107" fmla="*/ 0 h 692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w 673"/>
              <a:gd name="T163" fmla="*/ 0 h 692"/>
              <a:gd name="T164" fmla="*/ 673 w 673"/>
              <a:gd name="T165" fmla="*/ 692 h 692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T162" t="T163" r="T164" b="T165"/>
            <a:pathLst>
              <a:path w="673" h="692">
                <a:moveTo>
                  <a:pt x="380" y="0"/>
                </a:moveTo>
                <a:lnTo>
                  <a:pt x="410" y="40"/>
                </a:lnTo>
                <a:lnTo>
                  <a:pt x="428" y="40"/>
                </a:lnTo>
                <a:lnTo>
                  <a:pt x="443" y="66"/>
                </a:lnTo>
                <a:lnTo>
                  <a:pt x="465" y="70"/>
                </a:lnTo>
                <a:lnTo>
                  <a:pt x="465" y="99"/>
                </a:lnTo>
                <a:lnTo>
                  <a:pt x="490" y="99"/>
                </a:lnTo>
                <a:lnTo>
                  <a:pt x="508" y="73"/>
                </a:lnTo>
                <a:lnTo>
                  <a:pt x="505" y="117"/>
                </a:lnTo>
                <a:lnTo>
                  <a:pt x="527" y="124"/>
                </a:lnTo>
                <a:lnTo>
                  <a:pt x="549" y="146"/>
                </a:lnTo>
                <a:lnTo>
                  <a:pt x="560" y="150"/>
                </a:lnTo>
                <a:lnTo>
                  <a:pt x="582" y="146"/>
                </a:lnTo>
                <a:lnTo>
                  <a:pt x="593" y="150"/>
                </a:lnTo>
                <a:lnTo>
                  <a:pt x="604" y="172"/>
                </a:lnTo>
                <a:lnTo>
                  <a:pt x="640" y="161"/>
                </a:lnTo>
                <a:lnTo>
                  <a:pt x="662" y="168"/>
                </a:lnTo>
                <a:lnTo>
                  <a:pt x="673" y="198"/>
                </a:lnTo>
                <a:lnTo>
                  <a:pt x="658" y="249"/>
                </a:lnTo>
                <a:lnTo>
                  <a:pt x="655" y="289"/>
                </a:lnTo>
                <a:lnTo>
                  <a:pt x="640" y="304"/>
                </a:lnTo>
                <a:lnTo>
                  <a:pt x="611" y="319"/>
                </a:lnTo>
                <a:lnTo>
                  <a:pt x="607" y="341"/>
                </a:lnTo>
                <a:lnTo>
                  <a:pt x="582" y="377"/>
                </a:lnTo>
                <a:lnTo>
                  <a:pt x="582" y="406"/>
                </a:lnTo>
                <a:lnTo>
                  <a:pt x="604" y="384"/>
                </a:lnTo>
                <a:lnTo>
                  <a:pt x="614" y="384"/>
                </a:lnTo>
                <a:lnTo>
                  <a:pt x="622" y="424"/>
                </a:lnTo>
                <a:lnTo>
                  <a:pt x="611" y="476"/>
                </a:lnTo>
                <a:lnTo>
                  <a:pt x="600" y="480"/>
                </a:lnTo>
                <a:lnTo>
                  <a:pt x="585" y="520"/>
                </a:lnTo>
                <a:lnTo>
                  <a:pt x="611" y="562"/>
                </a:lnTo>
                <a:lnTo>
                  <a:pt x="649" y="559"/>
                </a:lnTo>
                <a:lnTo>
                  <a:pt x="659" y="580"/>
                </a:lnTo>
                <a:lnTo>
                  <a:pt x="636" y="600"/>
                </a:lnTo>
                <a:lnTo>
                  <a:pt x="607" y="626"/>
                </a:lnTo>
                <a:lnTo>
                  <a:pt x="571" y="637"/>
                </a:lnTo>
                <a:lnTo>
                  <a:pt x="527" y="622"/>
                </a:lnTo>
                <a:lnTo>
                  <a:pt x="505" y="622"/>
                </a:lnTo>
                <a:lnTo>
                  <a:pt x="486" y="633"/>
                </a:lnTo>
                <a:lnTo>
                  <a:pt x="450" y="615"/>
                </a:lnTo>
                <a:lnTo>
                  <a:pt x="435" y="637"/>
                </a:lnTo>
                <a:lnTo>
                  <a:pt x="439" y="681"/>
                </a:lnTo>
                <a:lnTo>
                  <a:pt x="402" y="692"/>
                </a:lnTo>
                <a:lnTo>
                  <a:pt x="362" y="688"/>
                </a:lnTo>
                <a:lnTo>
                  <a:pt x="340" y="670"/>
                </a:lnTo>
                <a:lnTo>
                  <a:pt x="296" y="670"/>
                </a:lnTo>
                <a:lnTo>
                  <a:pt x="252" y="674"/>
                </a:lnTo>
                <a:lnTo>
                  <a:pt x="227" y="670"/>
                </a:lnTo>
                <a:lnTo>
                  <a:pt x="187" y="644"/>
                </a:lnTo>
                <a:lnTo>
                  <a:pt x="168" y="615"/>
                </a:lnTo>
                <a:lnTo>
                  <a:pt x="176" y="608"/>
                </a:lnTo>
                <a:lnTo>
                  <a:pt x="190" y="535"/>
                </a:lnTo>
                <a:lnTo>
                  <a:pt x="208" y="524"/>
                </a:lnTo>
                <a:lnTo>
                  <a:pt x="198" y="509"/>
                </a:lnTo>
                <a:lnTo>
                  <a:pt x="183" y="516"/>
                </a:lnTo>
                <a:lnTo>
                  <a:pt x="190" y="476"/>
                </a:lnTo>
                <a:lnTo>
                  <a:pt x="212" y="480"/>
                </a:lnTo>
                <a:lnTo>
                  <a:pt x="219" y="469"/>
                </a:lnTo>
                <a:lnTo>
                  <a:pt x="187" y="443"/>
                </a:lnTo>
                <a:lnTo>
                  <a:pt x="176" y="425"/>
                </a:lnTo>
                <a:lnTo>
                  <a:pt x="190" y="432"/>
                </a:lnTo>
                <a:lnTo>
                  <a:pt x="194" y="410"/>
                </a:lnTo>
                <a:lnTo>
                  <a:pt x="168" y="392"/>
                </a:lnTo>
                <a:lnTo>
                  <a:pt x="154" y="359"/>
                </a:lnTo>
                <a:lnTo>
                  <a:pt x="157" y="333"/>
                </a:lnTo>
                <a:lnTo>
                  <a:pt x="143" y="333"/>
                </a:lnTo>
                <a:lnTo>
                  <a:pt x="143" y="315"/>
                </a:lnTo>
                <a:lnTo>
                  <a:pt x="110" y="297"/>
                </a:lnTo>
                <a:lnTo>
                  <a:pt x="95" y="311"/>
                </a:lnTo>
                <a:lnTo>
                  <a:pt x="88" y="293"/>
                </a:lnTo>
                <a:lnTo>
                  <a:pt x="33" y="267"/>
                </a:lnTo>
                <a:lnTo>
                  <a:pt x="18" y="278"/>
                </a:lnTo>
                <a:lnTo>
                  <a:pt x="4" y="267"/>
                </a:lnTo>
                <a:lnTo>
                  <a:pt x="11" y="249"/>
                </a:lnTo>
                <a:lnTo>
                  <a:pt x="29" y="245"/>
                </a:lnTo>
                <a:lnTo>
                  <a:pt x="22" y="234"/>
                </a:lnTo>
                <a:lnTo>
                  <a:pt x="4" y="242"/>
                </a:lnTo>
                <a:lnTo>
                  <a:pt x="0" y="234"/>
                </a:lnTo>
                <a:lnTo>
                  <a:pt x="15" y="216"/>
                </a:lnTo>
                <a:lnTo>
                  <a:pt x="44" y="209"/>
                </a:lnTo>
                <a:lnTo>
                  <a:pt x="48" y="216"/>
                </a:lnTo>
                <a:lnTo>
                  <a:pt x="66" y="212"/>
                </a:lnTo>
                <a:lnTo>
                  <a:pt x="69" y="198"/>
                </a:lnTo>
                <a:lnTo>
                  <a:pt x="95" y="194"/>
                </a:lnTo>
                <a:lnTo>
                  <a:pt x="124" y="223"/>
                </a:lnTo>
                <a:lnTo>
                  <a:pt x="132" y="216"/>
                </a:lnTo>
                <a:lnTo>
                  <a:pt x="154" y="212"/>
                </a:lnTo>
                <a:lnTo>
                  <a:pt x="179" y="216"/>
                </a:lnTo>
                <a:lnTo>
                  <a:pt x="165" y="201"/>
                </a:lnTo>
                <a:lnTo>
                  <a:pt x="168" y="165"/>
                </a:lnTo>
                <a:lnTo>
                  <a:pt x="154" y="154"/>
                </a:lnTo>
                <a:lnTo>
                  <a:pt x="154" y="124"/>
                </a:lnTo>
                <a:lnTo>
                  <a:pt x="187" y="124"/>
                </a:lnTo>
                <a:lnTo>
                  <a:pt x="190" y="157"/>
                </a:lnTo>
                <a:lnTo>
                  <a:pt x="201" y="146"/>
                </a:lnTo>
                <a:lnTo>
                  <a:pt x="241" y="146"/>
                </a:lnTo>
                <a:lnTo>
                  <a:pt x="267" y="146"/>
                </a:lnTo>
                <a:lnTo>
                  <a:pt x="256" y="139"/>
                </a:lnTo>
                <a:lnTo>
                  <a:pt x="278" y="117"/>
                </a:lnTo>
                <a:lnTo>
                  <a:pt x="293" y="117"/>
                </a:lnTo>
                <a:lnTo>
                  <a:pt x="326" y="95"/>
                </a:lnTo>
                <a:lnTo>
                  <a:pt x="344" y="92"/>
                </a:lnTo>
                <a:lnTo>
                  <a:pt x="355" y="92"/>
                </a:lnTo>
                <a:lnTo>
                  <a:pt x="351" y="73"/>
                </a:lnTo>
                <a:lnTo>
                  <a:pt x="351" y="48"/>
                </a:lnTo>
                <a:lnTo>
                  <a:pt x="355" y="22"/>
                </a:lnTo>
                <a:lnTo>
                  <a:pt x="380" y="0"/>
                </a:lnTo>
              </a:path>
            </a:pathLst>
          </a:custGeom>
          <a:solidFill>
            <a:srgbClr val="25456C"/>
          </a:solidFill>
          <a:ln w="3175">
            <a:solidFill>
              <a:srgbClr val="25456C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114300</xdr:colOff>
      <xdr:row>33</xdr:row>
      <xdr:rowOff>9525</xdr:rowOff>
    </xdr:from>
    <xdr:to>
      <xdr:col>2</xdr:col>
      <xdr:colOff>381000</xdr:colOff>
      <xdr:row>36</xdr:row>
      <xdr:rowOff>85725</xdr:rowOff>
    </xdr:to>
    <xdr:sp macro="" textlink="">
      <xdr:nvSpPr>
        <xdr:cNvPr id="25674" name="S_PRT"/>
        <xdr:cNvSpPr>
          <a:spLocks noChangeAspect="1"/>
        </xdr:cNvSpPr>
      </xdr:nvSpPr>
      <xdr:spPr bwMode="auto">
        <a:xfrm>
          <a:off x="942975" y="5362575"/>
          <a:ext cx="266700" cy="561975"/>
        </a:xfrm>
        <a:custGeom>
          <a:avLst/>
          <a:gdLst>
            <a:gd name="T0" fmla="*/ 161636 w 165"/>
            <a:gd name="T1" fmla="*/ 528918 h 357"/>
            <a:gd name="T2" fmla="*/ 145473 w 165"/>
            <a:gd name="T3" fmla="*/ 539937 h 357"/>
            <a:gd name="T4" fmla="*/ 114762 w 165"/>
            <a:gd name="T5" fmla="*/ 550956 h 357"/>
            <a:gd name="T6" fmla="*/ 77585 w 165"/>
            <a:gd name="T7" fmla="*/ 533640 h 357"/>
            <a:gd name="T8" fmla="*/ 51724 w 165"/>
            <a:gd name="T9" fmla="*/ 561975 h 357"/>
            <a:gd name="T10" fmla="*/ 42025 w 165"/>
            <a:gd name="T11" fmla="*/ 550956 h 357"/>
            <a:gd name="T12" fmla="*/ 56573 w 165"/>
            <a:gd name="T13" fmla="*/ 506879 h 357"/>
            <a:gd name="T14" fmla="*/ 56573 w 165"/>
            <a:gd name="T15" fmla="*/ 439191 h 357"/>
            <a:gd name="T16" fmla="*/ 37176 w 165"/>
            <a:gd name="T17" fmla="*/ 434468 h 357"/>
            <a:gd name="T18" fmla="*/ 30711 w 165"/>
            <a:gd name="T19" fmla="*/ 406133 h 357"/>
            <a:gd name="T20" fmla="*/ 42025 w 165"/>
            <a:gd name="T21" fmla="*/ 388817 h 357"/>
            <a:gd name="T22" fmla="*/ 0 w 165"/>
            <a:gd name="T23" fmla="*/ 384095 h 357"/>
            <a:gd name="T24" fmla="*/ 16164 w 165"/>
            <a:gd name="T25" fmla="*/ 333722 h 357"/>
            <a:gd name="T26" fmla="*/ 30711 w 165"/>
            <a:gd name="T27" fmla="*/ 311684 h 357"/>
            <a:gd name="T28" fmla="*/ 42025 w 165"/>
            <a:gd name="T29" fmla="*/ 210937 h 357"/>
            <a:gd name="T30" fmla="*/ 51724 w 165"/>
            <a:gd name="T31" fmla="*/ 177880 h 357"/>
            <a:gd name="T32" fmla="*/ 63038 w 165"/>
            <a:gd name="T33" fmla="*/ 166861 h 357"/>
            <a:gd name="T34" fmla="*/ 51724 w 165"/>
            <a:gd name="T35" fmla="*/ 149545 h 357"/>
            <a:gd name="T36" fmla="*/ 51724 w 165"/>
            <a:gd name="T37" fmla="*/ 77134 h 357"/>
            <a:gd name="T38" fmla="*/ 42025 w 165"/>
            <a:gd name="T39" fmla="*/ 3148 h 357"/>
            <a:gd name="T40" fmla="*/ 88900 w 165"/>
            <a:gd name="T41" fmla="*/ 0 h 357"/>
            <a:gd name="T42" fmla="*/ 119611 w 165"/>
            <a:gd name="T43" fmla="*/ 39354 h 357"/>
            <a:gd name="T44" fmla="*/ 218209 w 165"/>
            <a:gd name="T45" fmla="*/ 44076 h 357"/>
            <a:gd name="T46" fmla="*/ 266700 w 165"/>
            <a:gd name="T47" fmla="*/ 66115 h 357"/>
            <a:gd name="T48" fmla="*/ 221442 w 165"/>
            <a:gd name="T49" fmla="*/ 132229 h 357"/>
            <a:gd name="T50" fmla="*/ 203662 w 165"/>
            <a:gd name="T51" fmla="*/ 206215 h 357"/>
            <a:gd name="T52" fmla="*/ 182649 w 165"/>
            <a:gd name="T53" fmla="*/ 221957 h 357"/>
            <a:gd name="T54" fmla="*/ 197196 w 165"/>
            <a:gd name="T55" fmla="*/ 283349 h 357"/>
            <a:gd name="T56" fmla="*/ 145473 w 165"/>
            <a:gd name="T57" fmla="*/ 300664 h 357"/>
            <a:gd name="T58" fmla="*/ 182649 w 165"/>
            <a:gd name="T59" fmla="*/ 377798 h 357"/>
            <a:gd name="T60" fmla="*/ 176184 w 165"/>
            <a:gd name="T61" fmla="*/ 434468 h 357"/>
            <a:gd name="T62" fmla="*/ 203662 w 165"/>
            <a:gd name="T63" fmla="*/ 461229 h 357"/>
            <a:gd name="T64" fmla="*/ 179416 w 165"/>
            <a:gd name="T65" fmla="*/ 489564 h 357"/>
            <a:gd name="T66" fmla="*/ 161636 w 165"/>
            <a:gd name="T67" fmla="*/ 528918 h 357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w 165"/>
            <a:gd name="T103" fmla="*/ 0 h 357"/>
            <a:gd name="T104" fmla="*/ 165 w 165"/>
            <a:gd name="T105" fmla="*/ 357 h 357"/>
          </a:gdLst>
          <a:ahLst/>
          <a:cxnLst>
            <a:cxn ang="T68">
              <a:pos x="T0" y="T1"/>
            </a:cxn>
            <a:cxn ang="T69">
              <a:pos x="T2" y="T3"/>
            </a:cxn>
            <a:cxn ang="T70">
              <a:pos x="T4" y="T5"/>
            </a:cxn>
            <a:cxn ang="T71">
              <a:pos x="T6" y="T7"/>
            </a:cxn>
            <a:cxn ang="T72">
              <a:pos x="T8" y="T9"/>
            </a:cxn>
            <a:cxn ang="T73">
              <a:pos x="T10" y="T11"/>
            </a:cxn>
            <a:cxn ang="T74">
              <a:pos x="T12" y="T13"/>
            </a:cxn>
            <a:cxn ang="T75">
              <a:pos x="T14" y="T15"/>
            </a:cxn>
            <a:cxn ang="T76">
              <a:pos x="T16" y="T17"/>
            </a:cxn>
            <a:cxn ang="T77">
              <a:pos x="T18" y="T19"/>
            </a:cxn>
            <a:cxn ang="T78">
              <a:pos x="T20" y="T21"/>
            </a:cxn>
            <a:cxn ang="T79">
              <a:pos x="T22" y="T23"/>
            </a:cxn>
            <a:cxn ang="T80">
              <a:pos x="T24" y="T25"/>
            </a:cxn>
            <a:cxn ang="T81">
              <a:pos x="T26" y="T27"/>
            </a:cxn>
            <a:cxn ang="T82">
              <a:pos x="T28" y="T29"/>
            </a:cxn>
            <a:cxn ang="T83">
              <a:pos x="T30" y="T31"/>
            </a:cxn>
            <a:cxn ang="T84">
              <a:pos x="T32" y="T33"/>
            </a:cxn>
            <a:cxn ang="T85">
              <a:pos x="T34" y="T35"/>
            </a:cxn>
            <a:cxn ang="T86">
              <a:pos x="T36" y="T37"/>
            </a:cxn>
            <a:cxn ang="T87">
              <a:pos x="T38" y="T39"/>
            </a:cxn>
            <a:cxn ang="T88">
              <a:pos x="T40" y="T41"/>
            </a:cxn>
            <a:cxn ang="T89">
              <a:pos x="T42" y="T43"/>
            </a:cxn>
            <a:cxn ang="T90">
              <a:pos x="T44" y="T45"/>
            </a:cxn>
            <a:cxn ang="T91">
              <a:pos x="T46" y="T47"/>
            </a:cxn>
            <a:cxn ang="T92">
              <a:pos x="T48" y="T49"/>
            </a:cxn>
            <a:cxn ang="T93">
              <a:pos x="T50" y="T51"/>
            </a:cxn>
            <a:cxn ang="T94">
              <a:pos x="T52" y="T53"/>
            </a:cxn>
            <a:cxn ang="T95">
              <a:pos x="T54" y="T55"/>
            </a:cxn>
            <a:cxn ang="T96">
              <a:pos x="T56" y="T57"/>
            </a:cxn>
            <a:cxn ang="T97">
              <a:pos x="T58" y="T59"/>
            </a:cxn>
            <a:cxn ang="T98">
              <a:pos x="T60" y="T61"/>
            </a:cxn>
            <a:cxn ang="T99">
              <a:pos x="T62" y="T63"/>
            </a:cxn>
            <a:cxn ang="T100">
              <a:pos x="T64" y="T65"/>
            </a:cxn>
            <a:cxn ang="T101">
              <a:pos x="T66" y="T67"/>
            </a:cxn>
          </a:cxnLst>
          <a:rect l="T102" t="T103" r="T104" b="T105"/>
          <a:pathLst>
            <a:path w="165" h="357">
              <a:moveTo>
                <a:pt x="100" y="336"/>
              </a:moveTo>
              <a:lnTo>
                <a:pt x="90" y="343"/>
              </a:lnTo>
              <a:lnTo>
                <a:pt x="71" y="350"/>
              </a:lnTo>
              <a:lnTo>
                <a:pt x="48" y="339"/>
              </a:lnTo>
              <a:lnTo>
                <a:pt x="32" y="357"/>
              </a:lnTo>
              <a:lnTo>
                <a:pt x="26" y="350"/>
              </a:lnTo>
              <a:lnTo>
                <a:pt x="35" y="322"/>
              </a:lnTo>
              <a:lnTo>
                <a:pt x="35" y="279"/>
              </a:lnTo>
              <a:lnTo>
                <a:pt x="23" y="276"/>
              </a:lnTo>
              <a:lnTo>
                <a:pt x="19" y="258"/>
              </a:lnTo>
              <a:lnTo>
                <a:pt x="26" y="247"/>
              </a:lnTo>
              <a:lnTo>
                <a:pt x="0" y="244"/>
              </a:lnTo>
              <a:lnTo>
                <a:pt x="10" y="212"/>
              </a:lnTo>
              <a:lnTo>
                <a:pt x="19" y="198"/>
              </a:lnTo>
              <a:lnTo>
                <a:pt x="26" y="134"/>
              </a:lnTo>
              <a:lnTo>
                <a:pt x="32" y="113"/>
              </a:lnTo>
              <a:lnTo>
                <a:pt x="39" y="106"/>
              </a:lnTo>
              <a:lnTo>
                <a:pt x="32" y="95"/>
              </a:lnTo>
              <a:lnTo>
                <a:pt x="32" y="49"/>
              </a:lnTo>
              <a:lnTo>
                <a:pt x="26" y="2"/>
              </a:lnTo>
              <a:lnTo>
                <a:pt x="55" y="0"/>
              </a:lnTo>
              <a:lnTo>
                <a:pt x="74" y="25"/>
              </a:lnTo>
              <a:lnTo>
                <a:pt x="135" y="28"/>
              </a:lnTo>
              <a:lnTo>
                <a:pt x="165" y="42"/>
              </a:lnTo>
              <a:lnTo>
                <a:pt x="137" y="84"/>
              </a:lnTo>
              <a:lnTo>
                <a:pt x="126" y="131"/>
              </a:lnTo>
              <a:lnTo>
                <a:pt x="113" y="141"/>
              </a:lnTo>
              <a:lnTo>
                <a:pt x="122" y="180"/>
              </a:lnTo>
              <a:lnTo>
                <a:pt x="90" y="191"/>
              </a:lnTo>
              <a:lnTo>
                <a:pt x="113" y="240"/>
              </a:lnTo>
              <a:lnTo>
                <a:pt x="109" y="276"/>
              </a:lnTo>
              <a:lnTo>
                <a:pt x="126" y="293"/>
              </a:lnTo>
              <a:lnTo>
                <a:pt x="111" y="311"/>
              </a:lnTo>
              <a:lnTo>
                <a:pt x="100" y="336"/>
              </a:lnTo>
            </a:path>
          </a:pathLst>
        </a:custGeom>
        <a:solidFill>
          <a:srgbClr val="6084AF"/>
        </a:solidFill>
        <a:ln w="3175">
          <a:solidFill>
            <a:srgbClr val="6084AF"/>
          </a:solidFill>
          <a:round/>
          <a:headEnd/>
          <a:tailEnd/>
        </a:ln>
      </xdr:spPr>
    </xdr:sp>
    <xdr:clientData/>
  </xdr:twoCellAnchor>
  <xdr:twoCellAnchor>
    <xdr:from>
      <xdr:col>2</xdr:col>
      <xdr:colOff>85725</xdr:colOff>
      <xdr:row>32</xdr:row>
      <xdr:rowOff>9525</xdr:rowOff>
    </xdr:from>
    <xdr:to>
      <xdr:col>3</xdr:col>
      <xdr:colOff>571500</xdr:colOff>
      <xdr:row>37</xdr:row>
      <xdr:rowOff>38100</xdr:rowOff>
    </xdr:to>
    <xdr:grpSp>
      <xdr:nvGrpSpPr>
        <xdr:cNvPr id="25675" name="S_ESP"/>
        <xdr:cNvGrpSpPr>
          <a:grpSpLocks/>
        </xdr:cNvGrpSpPr>
      </xdr:nvGrpSpPr>
      <xdr:grpSpPr bwMode="auto">
        <a:xfrm>
          <a:off x="914400" y="5629275"/>
          <a:ext cx="1200150" cy="838200"/>
          <a:chOff x="96" y="563"/>
          <a:chExt cx="126" cy="88"/>
        </a:xfrm>
      </xdr:grpSpPr>
      <xdr:sp macro="" textlink="">
        <xdr:nvSpPr>
          <xdr:cNvPr id="25684" name="S_ESP4"/>
          <xdr:cNvSpPr>
            <a:spLocks noChangeAspect="1"/>
          </xdr:cNvSpPr>
        </xdr:nvSpPr>
        <xdr:spPr bwMode="auto">
          <a:xfrm>
            <a:off x="96" y="563"/>
            <a:ext cx="116" cy="88"/>
          </a:xfrm>
          <a:custGeom>
            <a:avLst/>
            <a:gdLst>
              <a:gd name="T0" fmla="*/ 72 w 691"/>
              <a:gd name="T1" fmla="*/ 9 h 543"/>
              <a:gd name="T2" fmla="*/ 83 w 691"/>
              <a:gd name="T3" fmla="*/ 13 h 543"/>
              <a:gd name="T4" fmla="*/ 98 w 691"/>
              <a:gd name="T5" fmla="*/ 13 h 543"/>
              <a:gd name="T6" fmla="*/ 108 w 691"/>
              <a:gd name="T7" fmla="*/ 16 h 543"/>
              <a:gd name="T8" fmla="*/ 116 w 691"/>
              <a:gd name="T9" fmla="*/ 16 h 543"/>
              <a:gd name="T10" fmla="*/ 114 w 691"/>
              <a:gd name="T11" fmla="*/ 19 h 543"/>
              <a:gd name="T12" fmla="*/ 105 w 691"/>
              <a:gd name="T13" fmla="*/ 28 h 543"/>
              <a:gd name="T14" fmla="*/ 81 w 691"/>
              <a:gd name="T15" fmla="*/ 50 h 543"/>
              <a:gd name="T16" fmla="*/ 83 w 691"/>
              <a:gd name="T17" fmla="*/ 57 h 543"/>
              <a:gd name="T18" fmla="*/ 83 w 691"/>
              <a:gd name="T19" fmla="*/ 60 h 543"/>
              <a:gd name="T20" fmla="*/ 78 w 691"/>
              <a:gd name="T21" fmla="*/ 72 h 543"/>
              <a:gd name="T22" fmla="*/ 68 w 691"/>
              <a:gd name="T23" fmla="*/ 75 h 543"/>
              <a:gd name="T24" fmla="*/ 64 w 691"/>
              <a:gd name="T25" fmla="*/ 78 h 543"/>
              <a:gd name="T26" fmla="*/ 57 w 691"/>
              <a:gd name="T27" fmla="*/ 79 h 543"/>
              <a:gd name="T28" fmla="*/ 46 w 691"/>
              <a:gd name="T29" fmla="*/ 80 h 543"/>
              <a:gd name="T30" fmla="*/ 38 w 691"/>
              <a:gd name="T31" fmla="*/ 83 h 543"/>
              <a:gd name="T32" fmla="*/ 27 w 691"/>
              <a:gd name="T33" fmla="*/ 84 h 543"/>
              <a:gd name="T34" fmla="*/ 26 w 691"/>
              <a:gd name="T35" fmla="*/ 78 h 543"/>
              <a:gd name="T36" fmla="*/ 18 w 691"/>
              <a:gd name="T37" fmla="*/ 69 h 543"/>
              <a:gd name="T38" fmla="*/ 20 w 691"/>
              <a:gd name="T39" fmla="*/ 64 h 543"/>
              <a:gd name="T40" fmla="*/ 16 w 691"/>
              <a:gd name="T41" fmla="*/ 49 h 543"/>
              <a:gd name="T42" fmla="*/ 20 w 691"/>
              <a:gd name="T43" fmla="*/ 42 h 543"/>
              <a:gd name="T44" fmla="*/ 24 w 691"/>
              <a:gd name="T45" fmla="*/ 33 h 543"/>
              <a:gd name="T46" fmla="*/ 25 w 691"/>
              <a:gd name="T47" fmla="*/ 23 h 543"/>
              <a:gd name="T48" fmla="*/ 9 w 691"/>
              <a:gd name="T49" fmla="*/ 18 h 543"/>
              <a:gd name="T50" fmla="*/ 3 w 691"/>
              <a:gd name="T51" fmla="*/ 18 h 543"/>
              <a:gd name="T52" fmla="*/ 2 w 691"/>
              <a:gd name="T53" fmla="*/ 14 h 543"/>
              <a:gd name="T54" fmla="*/ 0 w 691"/>
              <a:gd name="T55" fmla="*/ 9 h 543"/>
              <a:gd name="T56" fmla="*/ 4 w 691"/>
              <a:gd name="T57" fmla="*/ 2 h 543"/>
              <a:gd name="T58" fmla="*/ 9 w 691"/>
              <a:gd name="T59" fmla="*/ 1 h 543"/>
              <a:gd name="T60" fmla="*/ 19 w 691"/>
              <a:gd name="T61" fmla="*/ 1 h 543"/>
              <a:gd name="T62" fmla="*/ 24 w 691"/>
              <a:gd name="T63" fmla="*/ 2 h 543"/>
              <a:gd name="T64" fmla="*/ 35 w 691"/>
              <a:gd name="T65" fmla="*/ 0 h 543"/>
              <a:gd name="T66" fmla="*/ 42 w 691"/>
              <a:gd name="T67" fmla="*/ 2 h 543"/>
              <a:gd name="T68" fmla="*/ 56 w 691"/>
              <a:gd name="T69" fmla="*/ 3 h 543"/>
              <a:gd name="T70" fmla="*/ 62 w 691"/>
              <a:gd name="T71" fmla="*/ 2 h 543"/>
              <a:gd name="T72" fmla="*/ 68 w 691"/>
              <a:gd name="T73" fmla="*/ 4 h 543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w 691"/>
              <a:gd name="T112" fmla="*/ 0 h 543"/>
              <a:gd name="T113" fmla="*/ 691 w 691"/>
              <a:gd name="T114" fmla="*/ 543 h 543"/>
            </a:gdLst>
            <a:ahLst/>
            <a:cxnLst>
              <a:cxn ang="T74">
                <a:pos x="T0" y="T1"/>
              </a:cxn>
              <a:cxn ang="T75">
                <a:pos x="T2" y="T3"/>
              </a:cxn>
              <a:cxn ang="T76">
                <a:pos x="T4" y="T5"/>
              </a:cxn>
              <a:cxn ang="T77">
                <a:pos x="T6" y="T7"/>
              </a:cxn>
              <a:cxn ang="T78">
                <a:pos x="T8" y="T9"/>
              </a:cxn>
              <a:cxn ang="T79">
                <a:pos x="T10" y="T11"/>
              </a:cxn>
              <a:cxn ang="T80">
                <a:pos x="T12" y="T13"/>
              </a:cxn>
              <a:cxn ang="T81">
                <a:pos x="T14" y="T15"/>
              </a:cxn>
              <a:cxn ang="T82">
                <a:pos x="T16" y="T17"/>
              </a:cxn>
              <a:cxn ang="T83">
                <a:pos x="T18" y="T19"/>
              </a:cxn>
              <a:cxn ang="T84">
                <a:pos x="T20" y="T21"/>
              </a:cxn>
              <a:cxn ang="T85">
                <a:pos x="T22" y="T23"/>
              </a:cxn>
              <a:cxn ang="T86">
                <a:pos x="T24" y="T25"/>
              </a:cxn>
              <a:cxn ang="T87">
                <a:pos x="T26" y="T27"/>
              </a:cxn>
              <a:cxn ang="T88">
                <a:pos x="T28" y="T29"/>
              </a:cxn>
              <a:cxn ang="T89">
                <a:pos x="T30" y="T31"/>
              </a:cxn>
              <a:cxn ang="T90">
                <a:pos x="T32" y="T33"/>
              </a:cxn>
              <a:cxn ang="T91">
                <a:pos x="T34" y="T35"/>
              </a:cxn>
              <a:cxn ang="T92">
                <a:pos x="T36" y="T37"/>
              </a:cxn>
              <a:cxn ang="T93">
                <a:pos x="T38" y="T39"/>
              </a:cxn>
              <a:cxn ang="T94">
                <a:pos x="T40" y="T41"/>
              </a:cxn>
              <a:cxn ang="T95">
                <a:pos x="T42" y="T43"/>
              </a:cxn>
              <a:cxn ang="T96">
                <a:pos x="T44" y="T45"/>
              </a:cxn>
              <a:cxn ang="T97">
                <a:pos x="T46" y="T47"/>
              </a:cxn>
              <a:cxn ang="T98">
                <a:pos x="T48" y="T49"/>
              </a:cxn>
              <a:cxn ang="T99">
                <a:pos x="T50" y="T51"/>
              </a:cxn>
              <a:cxn ang="T100">
                <a:pos x="T52" y="T53"/>
              </a:cxn>
              <a:cxn ang="T101">
                <a:pos x="T54" y="T55"/>
              </a:cxn>
              <a:cxn ang="T102">
                <a:pos x="T56" y="T57"/>
              </a:cxn>
              <a:cxn ang="T103">
                <a:pos x="T58" y="T59"/>
              </a:cxn>
              <a:cxn ang="T104">
                <a:pos x="T60" y="T61"/>
              </a:cxn>
              <a:cxn ang="T105">
                <a:pos x="T62" y="T63"/>
              </a:cxn>
              <a:cxn ang="T106">
                <a:pos x="T64" y="T65"/>
              </a:cxn>
              <a:cxn ang="T107">
                <a:pos x="T66" y="T67"/>
              </a:cxn>
              <a:cxn ang="T108">
                <a:pos x="T68" y="T69"/>
              </a:cxn>
              <a:cxn ang="T109">
                <a:pos x="T70" y="T71"/>
              </a:cxn>
              <a:cxn ang="T110">
                <a:pos x="T72" y="T73"/>
              </a:cxn>
            </a:cxnLst>
            <a:rect l="T111" t="T112" r="T113" b="T114"/>
            <a:pathLst>
              <a:path w="691" h="543">
                <a:moveTo>
                  <a:pt x="408" y="25"/>
                </a:moveTo>
                <a:lnTo>
                  <a:pt x="426" y="54"/>
                </a:lnTo>
                <a:lnTo>
                  <a:pt x="467" y="80"/>
                </a:lnTo>
                <a:lnTo>
                  <a:pt x="493" y="83"/>
                </a:lnTo>
                <a:lnTo>
                  <a:pt x="537" y="80"/>
                </a:lnTo>
                <a:lnTo>
                  <a:pt x="581" y="80"/>
                </a:lnTo>
                <a:lnTo>
                  <a:pt x="603" y="98"/>
                </a:lnTo>
                <a:lnTo>
                  <a:pt x="643" y="101"/>
                </a:lnTo>
                <a:lnTo>
                  <a:pt x="680" y="91"/>
                </a:lnTo>
                <a:lnTo>
                  <a:pt x="691" y="98"/>
                </a:lnTo>
                <a:lnTo>
                  <a:pt x="669" y="109"/>
                </a:lnTo>
                <a:lnTo>
                  <a:pt x="680" y="116"/>
                </a:lnTo>
                <a:lnTo>
                  <a:pt x="676" y="130"/>
                </a:lnTo>
                <a:lnTo>
                  <a:pt x="625" y="174"/>
                </a:lnTo>
                <a:lnTo>
                  <a:pt x="559" y="195"/>
                </a:lnTo>
                <a:lnTo>
                  <a:pt x="481" y="308"/>
                </a:lnTo>
                <a:lnTo>
                  <a:pt x="481" y="319"/>
                </a:lnTo>
                <a:lnTo>
                  <a:pt x="493" y="351"/>
                </a:lnTo>
                <a:lnTo>
                  <a:pt x="507" y="362"/>
                </a:lnTo>
                <a:lnTo>
                  <a:pt x="493" y="373"/>
                </a:lnTo>
                <a:lnTo>
                  <a:pt x="470" y="409"/>
                </a:lnTo>
                <a:lnTo>
                  <a:pt x="463" y="445"/>
                </a:lnTo>
                <a:lnTo>
                  <a:pt x="430" y="456"/>
                </a:lnTo>
                <a:lnTo>
                  <a:pt x="404" y="463"/>
                </a:lnTo>
                <a:lnTo>
                  <a:pt x="397" y="492"/>
                </a:lnTo>
                <a:lnTo>
                  <a:pt x="382" y="481"/>
                </a:lnTo>
                <a:lnTo>
                  <a:pt x="349" y="496"/>
                </a:lnTo>
                <a:lnTo>
                  <a:pt x="342" y="485"/>
                </a:lnTo>
                <a:lnTo>
                  <a:pt x="305" y="496"/>
                </a:lnTo>
                <a:lnTo>
                  <a:pt x="276" y="492"/>
                </a:lnTo>
                <a:lnTo>
                  <a:pt x="246" y="510"/>
                </a:lnTo>
                <a:lnTo>
                  <a:pt x="228" y="510"/>
                </a:lnTo>
                <a:lnTo>
                  <a:pt x="210" y="543"/>
                </a:lnTo>
                <a:lnTo>
                  <a:pt x="162" y="518"/>
                </a:lnTo>
                <a:lnTo>
                  <a:pt x="162" y="500"/>
                </a:lnTo>
                <a:lnTo>
                  <a:pt x="154" y="481"/>
                </a:lnTo>
                <a:lnTo>
                  <a:pt x="107" y="456"/>
                </a:lnTo>
                <a:lnTo>
                  <a:pt x="110" y="424"/>
                </a:lnTo>
                <a:lnTo>
                  <a:pt x="133" y="410"/>
                </a:lnTo>
                <a:lnTo>
                  <a:pt x="118" y="395"/>
                </a:lnTo>
                <a:lnTo>
                  <a:pt x="121" y="358"/>
                </a:lnTo>
                <a:lnTo>
                  <a:pt x="98" y="304"/>
                </a:lnTo>
                <a:lnTo>
                  <a:pt x="133" y="289"/>
                </a:lnTo>
                <a:lnTo>
                  <a:pt x="121" y="257"/>
                </a:lnTo>
                <a:lnTo>
                  <a:pt x="136" y="246"/>
                </a:lnTo>
                <a:lnTo>
                  <a:pt x="143" y="203"/>
                </a:lnTo>
                <a:lnTo>
                  <a:pt x="176" y="156"/>
                </a:lnTo>
                <a:lnTo>
                  <a:pt x="147" y="141"/>
                </a:lnTo>
                <a:lnTo>
                  <a:pt x="77" y="138"/>
                </a:lnTo>
                <a:lnTo>
                  <a:pt x="55" y="112"/>
                </a:lnTo>
                <a:lnTo>
                  <a:pt x="29" y="127"/>
                </a:lnTo>
                <a:lnTo>
                  <a:pt x="15" y="112"/>
                </a:lnTo>
                <a:lnTo>
                  <a:pt x="22" y="91"/>
                </a:lnTo>
                <a:lnTo>
                  <a:pt x="11" y="87"/>
                </a:lnTo>
                <a:lnTo>
                  <a:pt x="15" y="65"/>
                </a:lnTo>
                <a:lnTo>
                  <a:pt x="0" y="58"/>
                </a:lnTo>
                <a:lnTo>
                  <a:pt x="0" y="36"/>
                </a:lnTo>
                <a:lnTo>
                  <a:pt x="22" y="14"/>
                </a:lnTo>
                <a:lnTo>
                  <a:pt x="55" y="18"/>
                </a:lnTo>
                <a:lnTo>
                  <a:pt x="51" y="4"/>
                </a:lnTo>
                <a:lnTo>
                  <a:pt x="81" y="0"/>
                </a:lnTo>
                <a:lnTo>
                  <a:pt x="114" y="4"/>
                </a:lnTo>
                <a:lnTo>
                  <a:pt x="121" y="0"/>
                </a:lnTo>
                <a:lnTo>
                  <a:pt x="140" y="11"/>
                </a:lnTo>
                <a:lnTo>
                  <a:pt x="173" y="0"/>
                </a:lnTo>
                <a:lnTo>
                  <a:pt x="210" y="0"/>
                </a:lnTo>
                <a:lnTo>
                  <a:pt x="217" y="11"/>
                </a:lnTo>
                <a:lnTo>
                  <a:pt x="250" y="14"/>
                </a:lnTo>
                <a:lnTo>
                  <a:pt x="298" y="11"/>
                </a:lnTo>
                <a:lnTo>
                  <a:pt x="331" y="18"/>
                </a:lnTo>
                <a:lnTo>
                  <a:pt x="342" y="11"/>
                </a:lnTo>
                <a:lnTo>
                  <a:pt x="371" y="14"/>
                </a:lnTo>
                <a:lnTo>
                  <a:pt x="375" y="33"/>
                </a:lnTo>
                <a:lnTo>
                  <a:pt x="408" y="25"/>
                </a:lnTo>
              </a:path>
            </a:pathLst>
          </a:custGeom>
          <a:solidFill>
            <a:srgbClr val="3F618A"/>
          </a:solidFill>
          <a:ln w="3175">
            <a:solidFill>
              <a:srgbClr val="3F618A"/>
            </a:solidFill>
            <a:round/>
            <a:headEnd/>
            <a:tailEnd/>
          </a:ln>
        </xdr:spPr>
      </xdr:sp>
      <xdr:sp macro="" textlink="">
        <xdr:nvSpPr>
          <xdr:cNvPr id="25685" name="S_ESP3"/>
          <xdr:cNvSpPr>
            <a:spLocks noChangeAspect="1"/>
          </xdr:cNvSpPr>
        </xdr:nvSpPr>
        <xdr:spPr bwMode="auto">
          <a:xfrm>
            <a:off x="193" y="626"/>
            <a:ext cx="0" cy="3"/>
          </a:xfrm>
          <a:custGeom>
            <a:avLst/>
            <a:gdLst>
              <a:gd name="T0" fmla="*/ 0 w 1"/>
              <a:gd name="T1" fmla="*/ 0 h 15"/>
              <a:gd name="T2" fmla="*/ 0 w 1"/>
              <a:gd name="T3" fmla="*/ 0 h 15"/>
              <a:gd name="T4" fmla="*/ 0 w 1"/>
              <a:gd name="T5" fmla="*/ 1 h 15"/>
              <a:gd name="T6" fmla="*/ 0 w 1"/>
              <a:gd name="T7" fmla="*/ 2 h 15"/>
              <a:gd name="T8" fmla="*/ 0 w 1"/>
              <a:gd name="T9" fmla="*/ 3 h 15"/>
              <a:gd name="T10" fmla="*/ 0 w 1"/>
              <a:gd name="T11" fmla="*/ 2 h 15"/>
              <a:gd name="T12" fmla="*/ 0 w 1"/>
              <a:gd name="T13" fmla="*/ 1 h 15"/>
              <a:gd name="T14" fmla="*/ 0 w 1"/>
              <a:gd name="T15" fmla="*/ 0 h 15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w 1"/>
              <a:gd name="T25" fmla="*/ 0 h 15"/>
              <a:gd name="T26" fmla="*/ 0 w 1"/>
              <a:gd name="T27" fmla="*/ 15 h 15"/>
            </a:gdLst>
            <a:ahLst/>
            <a:cxnLst>
              <a:cxn ang="T16">
                <a:pos x="T0" y="T1"/>
              </a:cxn>
              <a:cxn ang="T17">
                <a:pos x="T2" y="T3"/>
              </a:cxn>
              <a:cxn ang="T18">
                <a:pos x="T4" y="T5"/>
              </a:cxn>
              <a:cxn ang="T19">
                <a:pos x="T6" y="T7"/>
              </a:cxn>
              <a:cxn ang="T20">
                <a:pos x="T8" y="T9"/>
              </a:cxn>
              <a:cxn ang="T21">
                <a:pos x="T10" y="T11"/>
              </a:cxn>
              <a:cxn ang="T22">
                <a:pos x="T12" y="T13"/>
              </a:cxn>
              <a:cxn ang="T23">
                <a:pos x="T14" y="T15"/>
              </a:cxn>
            </a:cxnLst>
            <a:rect l="T24" t="T25" r="T26" b="T27"/>
            <a:pathLst>
              <a:path w="1" h="15">
                <a:moveTo>
                  <a:pt x="0" y="0"/>
                </a:moveTo>
                <a:lnTo>
                  <a:pt x="0" y="1"/>
                </a:lnTo>
                <a:lnTo>
                  <a:pt x="0" y="7"/>
                </a:lnTo>
                <a:lnTo>
                  <a:pt x="0" y="11"/>
                </a:lnTo>
                <a:lnTo>
                  <a:pt x="0" y="14"/>
                </a:lnTo>
                <a:lnTo>
                  <a:pt x="0" y="11"/>
                </a:lnTo>
                <a:lnTo>
                  <a:pt x="0" y="6"/>
                </a:lnTo>
                <a:lnTo>
                  <a:pt x="0" y="0"/>
                </a:lnTo>
              </a:path>
            </a:pathLst>
          </a:custGeom>
          <a:solidFill>
            <a:srgbClr val="3F618A"/>
          </a:solidFill>
          <a:ln w="3175">
            <a:solidFill>
              <a:srgbClr val="3F618A"/>
            </a:solidFill>
            <a:round/>
            <a:headEnd/>
            <a:tailEnd/>
          </a:ln>
        </xdr:spPr>
      </xdr:sp>
      <xdr:sp macro="" textlink="">
        <xdr:nvSpPr>
          <xdr:cNvPr id="25686" name="S_ESP2"/>
          <xdr:cNvSpPr>
            <a:spLocks noChangeAspect="1"/>
          </xdr:cNvSpPr>
        </xdr:nvSpPr>
        <xdr:spPr bwMode="auto">
          <a:xfrm>
            <a:off x="206" y="615"/>
            <a:ext cx="7" cy="5"/>
          </a:xfrm>
          <a:custGeom>
            <a:avLst/>
            <a:gdLst>
              <a:gd name="T0" fmla="*/ 0 w 43"/>
              <a:gd name="T1" fmla="*/ 3 h 32"/>
              <a:gd name="T2" fmla="*/ 1 w 43"/>
              <a:gd name="T3" fmla="*/ 1 h 32"/>
              <a:gd name="T4" fmla="*/ 5 w 43"/>
              <a:gd name="T5" fmla="*/ 0 h 32"/>
              <a:gd name="T6" fmla="*/ 5 w 43"/>
              <a:gd name="T7" fmla="*/ 1 h 32"/>
              <a:gd name="T8" fmla="*/ 6 w 43"/>
              <a:gd name="T9" fmla="*/ 2 h 32"/>
              <a:gd name="T10" fmla="*/ 7 w 43"/>
              <a:gd name="T11" fmla="*/ 3 h 32"/>
              <a:gd name="T12" fmla="*/ 5 w 43"/>
              <a:gd name="T13" fmla="*/ 5 h 32"/>
              <a:gd name="T14" fmla="*/ 2 w 43"/>
              <a:gd name="T15" fmla="*/ 4 h 32"/>
              <a:gd name="T16" fmla="*/ 0 w 43"/>
              <a:gd name="T17" fmla="*/ 4 h 32"/>
              <a:gd name="T18" fmla="*/ 0 w 43"/>
              <a:gd name="T19" fmla="*/ 3 h 32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w 43"/>
              <a:gd name="T31" fmla="*/ 0 h 32"/>
              <a:gd name="T32" fmla="*/ 43 w 43"/>
              <a:gd name="T33" fmla="*/ 32 h 32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T30" t="T31" r="T32" b="T33"/>
            <a:pathLst>
              <a:path w="43" h="32">
                <a:moveTo>
                  <a:pt x="0" y="19"/>
                </a:moveTo>
                <a:lnTo>
                  <a:pt x="9" y="8"/>
                </a:lnTo>
                <a:lnTo>
                  <a:pt x="29" y="0"/>
                </a:lnTo>
                <a:lnTo>
                  <a:pt x="29" y="6"/>
                </a:lnTo>
                <a:lnTo>
                  <a:pt x="38" y="10"/>
                </a:lnTo>
                <a:lnTo>
                  <a:pt x="42" y="17"/>
                </a:lnTo>
                <a:lnTo>
                  <a:pt x="29" y="31"/>
                </a:lnTo>
                <a:lnTo>
                  <a:pt x="15" y="25"/>
                </a:lnTo>
                <a:lnTo>
                  <a:pt x="2" y="23"/>
                </a:lnTo>
                <a:lnTo>
                  <a:pt x="0" y="19"/>
                </a:lnTo>
              </a:path>
            </a:pathLst>
          </a:custGeom>
          <a:solidFill>
            <a:srgbClr val="3F618A"/>
          </a:solidFill>
          <a:ln w="3175">
            <a:solidFill>
              <a:srgbClr val="3F618A"/>
            </a:solidFill>
            <a:round/>
            <a:headEnd/>
            <a:tailEnd/>
          </a:ln>
        </xdr:spPr>
      </xdr:sp>
      <xdr:sp macro="" textlink="">
        <xdr:nvSpPr>
          <xdr:cNvPr id="25687" name="S_ESP1"/>
          <xdr:cNvSpPr>
            <a:spLocks noChangeAspect="1"/>
          </xdr:cNvSpPr>
        </xdr:nvSpPr>
        <xdr:spPr bwMode="auto">
          <a:xfrm>
            <a:off x="221" y="612"/>
            <a:ext cx="1" cy="2"/>
          </a:xfrm>
          <a:custGeom>
            <a:avLst/>
            <a:gdLst>
              <a:gd name="T0" fmla="*/ 1 w 5"/>
              <a:gd name="T1" fmla="*/ 2 h 12"/>
              <a:gd name="T2" fmla="*/ 0 w 5"/>
              <a:gd name="T3" fmla="*/ 2 h 12"/>
              <a:gd name="T4" fmla="*/ 0 w 5"/>
              <a:gd name="T5" fmla="*/ 0 h 12"/>
              <a:gd name="T6" fmla="*/ 1 w 5"/>
              <a:gd name="T7" fmla="*/ 0 h 12"/>
              <a:gd name="T8" fmla="*/ 1 w 5"/>
              <a:gd name="T9" fmla="*/ 2 h 12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5"/>
              <a:gd name="T16" fmla="*/ 0 h 12"/>
              <a:gd name="T17" fmla="*/ 5 w 5"/>
              <a:gd name="T18" fmla="*/ 12 h 12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5" h="12">
                <a:moveTo>
                  <a:pt x="4" y="11"/>
                </a:moveTo>
                <a:lnTo>
                  <a:pt x="2" y="9"/>
                </a:lnTo>
                <a:lnTo>
                  <a:pt x="0" y="0"/>
                </a:lnTo>
                <a:lnTo>
                  <a:pt x="4" y="0"/>
                </a:lnTo>
                <a:lnTo>
                  <a:pt x="4" y="11"/>
                </a:lnTo>
              </a:path>
            </a:pathLst>
          </a:custGeom>
          <a:solidFill>
            <a:srgbClr val="3F618A"/>
          </a:solidFill>
          <a:ln w="3175">
            <a:solidFill>
              <a:srgbClr val="3F618A"/>
            </a:solidFill>
            <a:round/>
            <a:headEnd/>
            <a:tailEnd/>
          </a:ln>
        </xdr:spPr>
      </xdr:sp>
    </xdr:grpSp>
    <xdr:clientData/>
  </xdr:twoCellAnchor>
  <xdr:twoCellAnchor>
    <xdr:from>
      <xdr:col>4</xdr:col>
      <xdr:colOff>390525</xdr:colOff>
      <xdr:row>26</xdr:row>
      <xdr:rowOff>66675</xdr:rowOff>
    </xdr:from>
    <xdr:to>
      <xdr:col>5</xdr:col>
      <xdr:colOff>257175</xdr:colOff>
      <xdr:row>28</xdr:row>
      <xdr:rowOff>95250</xdr:rowOff>
    </xdr:to>
    <xdr:sp macro="" textlink="">
      <xdr:nvSpPr>
        <xdr:cNvPr id="25676" name="S_CZE"/>
        <xdr:cNvSpPr>
          <a:spLocks noChangeAspect="1"/>
        </xdr:cNvSpPr>
      </xdr:nvSpPr>
      <xdr:spPr bwMode="auto">
        <a:xfrm>
          <a:off x="2647950" y="4286250"/>
          <a:ext cx="581025" cy="352425"/>
        </a:xfrm>
        <a:custGeom>
          <a:avLst/>
          <a:gdLst>
            <a:gd name="T0" fmla="*/ 177800 w 366"/>
            <a:gd name="T1" fmla="*/ 339838 h 224"/>
            <a:gd name="T2" fmla="*/ 171450 w 366"/>
            <a:gd name="T3" fmla="*/ 313092 h 224"/>
            <a:gd name="T4" fmla="*/ 103188 w 366"/>
            <a:gd name="T5" fmla="*/ 265892 h 224"/>
            <a:gd name="T6" fmla="*/ 84137 w 366"/>
            <a:gd name="T7" fmla="*/ 258025 h 224"/>
            <a:gd name="T8" fmla="*/ 58738 w 366"/>
            <a:gd name="T9" fmla="*/ 248586 h 224"/>
            <a:gd name="T10" fmla="*/ 34925 w 366"/>
            <a:gd name="T11" fmla="*/ 176213 h 224"/>
            <a:gd name="T12" fmla="*/ 0 w 366"/>
            <a:gd name="T13" fmla="*/ 124293 h 224"/>
            <a:gd name="T14" fmla="*/ 23812 w 366"/>
            <a:gd name="T15" fmla="*/ 117999 h 224"/>
            <a:gd name="T16" fmla="*/ 58738 w 366"/>
            <a:gd name="T17" fmla="*/ 136879 h 224"/>
            <a:gd name="T18" fmla="*/ 123825 w 366"/>
            <a:gd name="T19" fmla="*/ 64506 h 224"/>
            <a:gd name="T20" fmla="*/ 184150 w 366"/>
            <a:gd name="T21" fmla="*/ 58213 h 224"/>
            <a:gd name="T22" fmla="*/ 212725 w 366"/>
            <a:gd name="T23" fmla="*/ 6293 h 224"/>
            <a:gd name="T24" fmla="*/ 249238 w 366"/>
            <a:gd name="T25" fmla="*/ 6293 h 224"/>
            <a:gd name="T26" fmla="*/ 266700 w 366"/>
            <a:gd name="T27" fmla="*/ 17307 h 224"/>
            <a:gd name="T28" fmla="*/ 290513 w 366"/>
            <a:gd name="T29" fmla="*/ 0 h 224"/>
            <a:gd name="T30" fmla="*/ 338137 w 366"/>
            <a:gd name="T31" fmla="*/ 58213 h 224"/>
            <a:gd name="T32" fmla="*/ 379412 w 366"/>
            <a:gd name="T33" fmla="*/ 64506 h 224"/>
            <a:gd name="T34" fmla="*/ 349250 w 366"/>
            <a:gd name="T35" fmla="*/ 103840 h 224"/>
            <a:gd name="T36" fmla="*/ 396875 w 366"/>
            <a:gd name="T37" fmla="*/ 111706 h 224"/>
            <a:gd name="T38" fmla="*/ 414338 w 366"/>
            <a:gd name="T39" fmla="*/ 72373 h 224"/>
            <a:gd name="T40" fmla="*/ 498475 w 366"/>
            <a:gd name="T41" fmla="*/ 84960 h 224"/>
            <a:gd name="T42" fmla="*/ 508000 w 366"/>
            <a:gd name="T43" fmla="*/ 140026 h 224"/>
            <a:gd name="T44" fmla="*/ 557213 w 366"/>
            <a:gd name="T45" fmla="*/ 124293 h 224"/>
            <a:gd name="T46" fmla="*/ 581025 w 366"/>
            <a:gd name="T47" fmla="*/ 221839 h 224"/>
            <a:gd name="T48" fmla="*/ 546100 w 366"/>
            <a:gd name="T49" fmla="*/ 234426 h 224"/>
            <a:gd name="T50" fmla="*/ 522288 w 366"/>
            <a:gd name="T51" fmla="*/ 294212 h 224"/>
            <a:gd name="T52" fmla="*/ 485775 w 366"/>
            <a:gd name="T53" fmla="*/ 325678 h 224"/>
            <a:gd name="T54" fmla="*/ 438150 w 366"/>
            <a:gd name="T55" fmla="*/ 319385 h 224"/>
            <a:gd name="T56" fmla="*/ 414338 w 366"/>
            <a:gd name="T57" fmla="*/ 352425 h 224"/>
            <a:gd name="T58" fmla="*/ 414338 w 366"/>
            <a:gd name="T59" fmla="*/ 306799 h 224"/>
            <a:gd name="T60" fmla="*/ 266700 w 366"/>
            <a:gd name="T61" fmla="*/ 280052 h 224"/>
            <a:gd name="T62" fmla="*/ 225425 w 366"/>
            <a:gd name="T63" fmla="*/ 346132 h 224"/>
            <a:gd name="T64" fmla="*/ 177800 w 366"/>
            <a:gd name="T65" fmla="*/ 339838 h 224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w 366"/>
            <a:gd name="T100" fmla="*/ 0 h 224"/>
            <a:gd name="T101" fmla="*/ 366 w 366"/>
            <a:gd name="T102" fmla="*/ 224 h 224"/>
          </a:gdLst>
          <a:ahLst/>
          <a:cxnLst>
            <a:cxn ang="T66">
              <a:pos x="T0" y="T1"/>
            </a:cxn>
            <a:cxn ang="T67">
              <a:pos x="T2" y="T3"/>
            </a:cxn>
            <a:cxn ang="T68">
              <a:pos x="T4" y="T5"/>
            </a:cxn>
            <a:cxn ang="T69">
              <a:pos x="T6" y="T7"/>
            </a:cxn>
            <a:cxn ang="T70">
              <a:pos x="T8" y="T9"/>
            </a:cxn>
            <a:cxn ang="T71">
              <a:pos x="T10" y="T11"/>
            </a:cxn>
            <a:cxn ang="T72">
              <a:pos x="T12" y="T13"/>
            </a:cxn>
            <a:cxn ang="T73">
              <a:pos x="T14" y="T15"/>
            </a:cxn>
            <a:cxn ang="T74">
              <a:pos x="T16" y="T17"/>
            </a:cxn>
            <a:cxn ang="T75">
              <a:pos x="T18" y="T19"/>
            </a:cxn>
            <a:cxn ang="T76">
              <a:pos x="T20" y="T21"/>
            </a:cxn>
            <a:cxn ang="T77">
              <a:pos x="T22" y="T23"/>
            </a:cxn>
            <a:cxn ang="T78">
              <a:pos x="T24" y="T25"/>
            </a:cxn>
            <a:cxn ang="T79">
              <a:pos x="T26" y="T27"/>
            </a:cxn>
            <a:cxn ang="T80">
              <a:pos x="T28" y="T29"/>
            </a:cxn>
            <a:cxn ang="T81">
              <a:pos x="T30" y="T31"/>
            </a:cxn>
            <a:cxn ang="T82">
              <a:pos x="T32" y="T33"/>
            </a:cxn>
            <a:cxn ang="T83">
              <a:pos x="T34" y="T35"/>
            </a:cxn>
            <a:cxn ang="T84">
              <a:pos x="T36" y="T37"/>
            </a:cxn>
            <a:cxn ang="T85">
              <a:pos x="T38" y="T39"/>
            </a:cxn>
            <a:cxn ang="T86">
              <a:pos x="T40" y="T41"/>
            </a:cxn>
            <a:cxn ang="T87">
              <a:pos x="T42" y="T43"/>
            </a:cxn>
            <a:cxn ang="T88">
              <a:pos x="T44" y="T45"/>
            </a:cxn>
            <a:cxn ang="T89">
              <a:pos x="T46" y="T47"/>
            </a:cxn>
            <a:cxn ang="T90">
              <a:pos x="T48" y="T49"/>
            </a:cxn>
            <a:cxn ang="T91">
              <a:pos x="T50" y="T51"/>
            </a:cxn>
            <a:cxn ang="T92">
              <a:pos x="T52" y="T53"/>
            </a:cxn>
            <a:cxn ang="T93">
              <a:pos x="T54" y="T55"/>
            </a:cxn>
            <a:cxn ang="T94">
              <a:pos x="T56" y="T57"/>
            </a:cxn>
            <a:cxn ang="T95">
              <a:pos x="T58" y="T59"/>
            </a:cxn>
            <a:cxn ang="T96">
              <a:pos x="T60" y="T61"/>
            </a:cxn>
            <a:cxn ang="T97">
              <a:pos x="T62" y="T63"/>
            </a:cxn>
            <a:cxn ang="T98">
              <a:pos x="T64" y="T65"/>
            </a:cxn>
          </a:cxnLst>
          <a:rect l="T99" t="T100" r="T101" b="T102"/>
          <a:pathLst>
            <a:path w="366" h="224">
              <a:moveTo>
                <a:pt x="112" y="216"/>
              </a:moveTo>
              <a:lnTo>
                <a:pt x="108" y="199"/>
              </a:lnTo>
              <a:lnTo>
                <a:pt x="65" y="169"/>
              </a:lnTo>
              <a:lnTo>
                <a:pt x="53" y="164"/>
              </a:lnTo>
              <a:lnTo>
                <a:pt x="37" y="158"/>
              </a:lnTo>
              <a:lnTo>
                <a:pt x="22" y="112"/>
              </a:lnTo>
              <a:lnTo>
                <a:pt x="0" y="79"/>
              </a:lnTo>
              <a:lnTo>
                <a:pt x="15" y="75"/>
              </a:lnTo>
              <a:lnTo>
                <a:pt x="37" y="87"/>
              </a:lnTo>
              <a:lnTo>
                <a:pt x="78" y="41"/>
              </a:lnTo>
              <a:lnTo>
                <a:pt x="116" y="37"/>
              </a:lnTo>
              <a:lnTo>
                <a:pt x="134" y="4"/>
              </a:lnTo>
              <a:lnTo>
                <a:pt x="157" y="4"/>
              </a:lnTo>
              <a:lnTo>
                <a:pt x="168" y="11"/>
              </a:lnTo>
              <a:lnTo>
                <a:pt x="183" y="0"/>
              </a:lnTo>
              <a:lnTo>
                <a:pt x="213" y="37"/>
              </a:lnTo>
              <a:lnTo>
                <a:pt x="239" y="41"/>
              </a:lnTo>
              <a:lnTo>
                <a:pt x="220" y="66"/>
              </a:lnTo>
              <a:lnTo>
                <a:pt x="250" y="71"/>
              </a:lnTo>
              <a:lnTo>
                <a:pt x="261" y="46"/>
              </a:lnTo>
              <a:lnTo>
                <a:pt x="314" y="54"/>
              </a:lnTo>
              <a:lnTo>
                <a:pt x="320" y="89"/>
              </a:lnTo>
              <a:lnTo>
                <a:pt x="351" y="79"/>
              </a:lnTo>
              <a:lnTo>
                <a:pt x="366" y="141"/>
              </a:lnTo>
              <a:lnTo>
                <a:pt x="344" y="149"/>
              </a:lnTo>
              <a:lnTo>
                <a:pt x="329" y="187"/>
              </a:lnTo>
              <a:lnTo>
                <a:pt x="306" y="207"/>
              </a:lnTo>
              <a:lnTo>
                <a:pt x="276" y="203"/>
              </a:lnTo>
              <a:lnTo>
                <a:pt x="261" y="224"/>
              </a:lnTo>
              <a:lnTo>
                <a:pt x="261" y="195"/>
              </a:lnTo>
              <a:lnTo>
                <a:pt x="168" y="178"/>
              </a:lnTo>
              <a:lnTo>
                <a:pt x="142" y="220"/>
              </a:lnTo>
              <a:lnTo>
                <a:pt x="112" y="216"/>
              </a:lnTo>
            </a:path>
          </a:pathLst>
        </a:custGeom>
        <a:solidFill>
          <a:srgbClr val="6D92BE"/>
        </a:solidFill>
        <a:ln w="3175">
          <a:solidFill>
            <a:srgbClr val="6D92BE"/>
          </a:solidFill>
          <a:round/>
          <a:headEnd/>
          <a:tailEnd/>
        </a:ln>
      </xdr:spPr>
    </xdr:sp>
    <xdr:clientData/>
  </xdr:twoCellAnchor>
  <xdr:twoCellAnchor>
    <xdr:from>
      <xdr:col>5</xdr:col>
      <xdr:colOff>57150</xdr:colOff>
      <xdr:row>28</xdr:row>
      <xdr:rowOff>57150</xdr:rowOff>
    </xdr:from>
    <xdr:to>
      <xdr:col>5</xdr:col>
      <xdr:colOff>638175</xdr:colOff>
      <xdr:row>30</xdr:row>
      <xdr:rowOff>85725</xdr:rowOff>
    </xdr:to>
    <xdr:sp macro="" textlink="">
      <xdr:nvSpPr>
        <xdr:cNvPr id="25677" name="S_HUN"/>
        <xdr:cNvSpPr>
          <a:spLocks noChangeAspect="1"/>
        </xdr:cNvSpPr>
      </xdr:nvSpPr>
      <xdr:spPr bwMode="auto">
        <a:xfrm>
          <a:off x="3028950" y="4600575"/>
          <a:ext cx="581025" cy="352425"/>
        </a:xfrm>
        <a:custGeom>
          <a:avLst/>
          <a:gdLst>
            <a:gd name="T0" fmla="*/ 352765 w 364"/>
            <a:gd name="T1" fmla="*/ 302524 h 226"/>
            <a:gd name="T2" fmla="*/ 285724 w 364"/>
            <a:gd name="T3" fmla="*/ 302524 h 226"/>
            <a:gd name="T4" fmla="*/ 202720 w 364"/>
            <a:gd name="T5" fmla="*/ 313440 h 226"/>
            <a:gd name="T6" fmla="*/ 151641 w 364"/>
            <a:gd name="T7" fmla="*/ 352425 h 226"/>
            <a:gd name="T8" fmla="*/ 55868 w 364"/>
            <a:gd name="T9" fmla="*/ 318118 h 226"/>
            <a:gd name="T10" fmla="*/ 33521 w 364"/>
            <a:gd name="T11" fmla="*/ 268217 h 226"/>
            <a:gd name="T12" fmla="*/ 28732 w 364"/>
            <a:gd name="T13" fmla="*/ 257301 h 226"/>
            <a:gd name="T14" fmla="*/ 0 w 364"/>
            <a:gd name="T15" fmla="*/ 218316 h 226"/>
            <a:gd name="T16" fmla="*/ 17558 w 364"/>
            <a:gd name="T17" fmla="*/ 207401 h 226"/>
            <a:gd name="T18" fmla="*/ 17558 w 364"/>
            <a:gd name="T19" fmla="*/ 173094 h 226"/>
            <a:gd name="T20" fmla="*/ 33521 w 364"/>
            <a:gd name="T21" fmla="*/ 151262 h 226"/>
            <a:gd name="T22" fmla="*/ 28732 w 364"/>
            <a:gd name="T23" fmla="*/ 112277 h 226"/>
            <a:gd name="T24" fmla="*/ 73426 w 364"/>
            <a:gd name="T25" fmla="*/ 129430 h 226"/>
            <a:gd name="T26" fmla="*/ 100562 w 364"/>
            <a:gd name="T27" fmla="*/ 77970 h 226"/>
            <a:gd name="T28" fmla="*/ 100562 w 364"/>
            <a:gd name="T29" fmla="*/ 38985 h 226"/>
            <a:gd name="T30" fmla="*/ 134083 w 364"/>
            <a:gd name="T31" fmla="*/ 73292 h 226"/>
            <a:gd name="T32" fmla="*/ 218683 w 364"/>
            <a:gd name="T33" fmla="*/ 60817 h 226"/>
            <a:gd name="T34" fmla="*/ 252203 w 364"/>
            <a:gd name="T35" fmla="*/ 34307 h 226"/>
            <a:gd name="T36" fmla="*/ 303282 w 364"/>
            <a:gd name="T37" fmla="*/ 49901 h 226"/>
            <a:gd name="T38" fmla="*/ 347976 w 364"/>
            <a:gd name="T39" fmla="*/ 0 h 226"/>
            <a:gd name="T40" fmla="*/ 410229 w 364"/>
            <a:gd name="T41" fmla="*/ 21832 h 226"/>
            <a:gd name="T42" fmla="*/ 437365 w 364"/>
            <a:gd name="T43" fmla="*/ 0 h 226"/>
            <a:gd name="T44" fmla="*/ 454923 w 364"/>
            <a:gd name="T45" fmla="*/ 28069 h 226"/>
            <a:gd name="T46" fmla="*/ 493233 w 364"/>
            <a:gd name="T47" fmla="*/ 17153 h 226"/>
            <a:gd name="T48" fmla="*/ 581025 w 364"/>
            <a:gd name="T49" fmla="*/ 74851 h 226"/>
            <a:gd name="T50" fmla="*/ 555485 w 364"/>
            <a:gd name="T51" fmla="*/ 113836 h 226"/>
            <a:gd name="T52" fmla="*/ 498021 w 364"/>
            <a:gd name="T53" fmla="*/ 141906 h 226"/>
            <a:gd name="T54" fmla="*/ 435769 w 364"/>
            <a:gd name="T55" fmla="*/ 249504 h 226"/>
            <a:gd name="T56" fmla="*/ 430980 w 364"/>
            <a:gd name="T57" fmla="*/ 285371 h 226"/>
            <a:gd name="T58" fmla="*/ 376708 w 364"/>
            <a:gd name="T59" fmla="*/ 285371 h 226"/>
            <a:gd name="T60" fmla="*/ 352765 w 364"/>
            <a:gd name="T61" fmla="*/ 302524 h 22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w 364"/>
            <a:gd name="T94" fmla="*/ 0 h 226"/>
            <a:gd name="T95" fmla="*/ 364 w 364"/>
            <a:gd name="T96" fmla="*/ 226 h 226"/>
          </a:gdLst>
          <a:ahLst/>
          <a:cxnLst>
            <a:cxn ang="T62">
              <a:pos x="T0" y="T1"/>
            </a:cxn>
            <a:cxn ang="T63">
              <a:pos x="T2" y="T3"/>
            </a:cxn>
            <a:cxn ang="T64">
              <a:pos x="T4" y="T5"/>
            </a:cxn>
            <a:cxn ang="T65">
              <a:pos x="T6" y="T7"/>
            </a:cxn>
            <a:cxn ang="T66">
              <a:pos x="T8" y="T9"/>
            </a:cxn>
            <a:cxn ang="T67">
              <a:pos x="T10" y="T11"/>
            </a:cxn>
            <a:cxn ang="T68">
              <a:pos x="T12" y="T13"/>
            </a:cxn>
            <a:cxn ang="T69">
              <a:pos x="T14" y="T15"/>
            </a:cxn>
            <a:cxn ang="T70">
              <a:pos x="T16" y="T17"/>
            </a:cxn>
            <a:cxn ang="T71">
              <a:pos x="T18" y="T19"/>
            </a:cxn>
            <a:cxn ang="T72">
              <a:pos x="T20" y="T21"/>
            </a:cxn>
            <a:cxn ang="T73">
              <a:pos x="T22" y="T23"/>
            </a:cxn>
            <a:cxn ang="T74">
              <a:pos x="T24" y="T25"/>
            </a:cxn>
            <a:cxn ang="T75">
              <a:pos x="T26" y="T27"/>
            </a:cxn>
            <a:cxn ang="T76">
              <a:pos x="T28" y="T29"/>
            </a:cxn>
            <a:cxn ang="T77">
              <a:pos x="T30" y="T31"/>
            </a:cxn>
            <a:cxn ang="T78">
              <a:pos x="T32" y="T33"/>
            </a:cxn>
            <a:cxn ang="T79">
              <a:pos x="T34" y="T35"/>
            </a:cxn>
            <a:cxn ang="T80">
              <a:pos x="T36" y="T37"/>
            </a:cxn>
            <a:cxn ang="T81">
              <a:pos x="T38" y="T39"/>
            </a:cxn>
            <a:cxn ang="T82">
              <a:pos x="T40" y="T41"/>
            </a:cxn>
            <a:cxn ang="T83">
              <a:pos x="T42" y="T43"/>
            </a:cxn>
            <a:cxn ang="T84">
              <a:pos x="T44" y="T45"/>
            </a:cxn>
            <a:cxn ang="T85">
              <a:pos x="T46" y="T47"/>
            </a:cxn>
            <a:cxn ang="T86">
              <a:pos x="T48" y="T49"/>
            </a:cxn>
            <a:cxn ang="T87">
              <a:pos x="T50" y="T51"/>
            </a:cxn>
            <a:cxn ang="T88">
              <a:pos x="T52" y="T53"/>
            </a:cxn>
            <a:cxn ang="T89">
              <a:pos x="T54" y="T55"/>
            </a:cxn>
            <a:cxn ang="T90">
              <a:pos x="T56" y="T57"/>
            </a:cxn>
            <a:cxn ang="T91">
              <a:pos x="T58" y="T59"/>
            </a:cxn>
            <a:cxn ang="T92">
              <a:pos x="T60" y="T61"/>
            </a:cxn>
          </a:cxnLst>
          <a:rect l="T93" t="T94" r="T95" b="T96"/>
          <a:pathLst>
            <a:path w="364" h="226">
              <a:moveTo>
                <a:pt x="221" y="194"/>
              </a:moveTo>
              <a:lnTo>
                <a:pt x="179" y="194"/>
              </a:lnTo>
              <a:lnTo>
                <a:pt x="127" y="201"/>
              </a:lnTo>
              <a:lnTo>
                <a:pt x="95" y="226"/>
              </a:lnTo>
              <a:lnTo>
                <a:pt x="35" y="204"/>
              </a:lnTo>
              <a:lnTo>
                <a:pt x="21" y="172"/>
              </a:lnTo>
              <a:lnTo>
                <a:pt x="18" y="165"/>
              </a:lnTo>
              <a:lnTo>
                <a:pt x="0" y="140"/>
              </a:lnTo>
              <a:lnTo>
                <a:pt x="11" y="133"/>
              </a:lnTo>
              <a:lnTo>
                <a:pt x="11" y="111"/>
              </a:lnTo>
              <a:lnTo>
                <a:pt x="21" y="97"/>
              </a:lnTo>
              <a:lnTo>
                <a:pt x="18" y="72"/>
              </a:lnTo>
              <a:lnTo>
                <a:pt x="46" y="83"/>
              </a:lnTo>
              <a:lnTo>
                <a:pt x="63" y="50"/>
              </a:lnTo>
              <a:lnTo>
                <a:pt x="63" y="25"/>
              </a:lnTo>
              <a:lnTo>
                <a:pt x="84" y="47"/>
              </a:lnTo>
              <a:lnTo>
                <a:pt x="137" y="39"/>
              </a:lnTo>
              <a:lnTo>
                <a:pt x="158" y="22"/>
              </a:lnTo>
              <a:lnTo>
                <a:pt x="190" y="32"/>
              </a:lnTo>
              <a:lnTo>
                <a:pt x="218" y="0"/>
              </a:lnTo>
              <a:lnTo>
                <a:pt x="257" y="14"/>
              </a:lnTo>
              <a:lnTo>
                <a:pt x="274" y="0"/>
              </a:lnTo>
              <a:lnTo>
                <a:pt x="285" y="18"/>
              </a:lnTo>
              <a:lnTo>
                <a:pt x="309" y="11"/>
              </a:lnTo>
              <a:lnTo>
                <a:pt x="364" y="48"/>
              </a:lnTo>
              <a:lnTo>
                <a:pt x="348" y="73"/>
              </a:lnTo>
              <a:lnTo>
                <a:pt x="312" y="91"/>
              </a:lnTo>
              <a:lnTo>
                <a:pt x="273" y="160"/>
              </a:lnTo>
              <a:lnTo>
                <a:pt x="270" y="183"/>
              </a:lnTo>
              <a:lnTo>
                <a:pt x="236" y="183"/>
              </a:lnTo>
              <a:lnTo>
                <a:pt x="221" y="194"/>
              </a:lnTo>
            </a:path>
          </a:pathLst>
        </a:custGeom>
        <a:solidFill>
          <a:srgbClr val="7399C6"/>
        </a:solidFill>
        <a:ln w="3175">
          <a:solidFill>
            <a:srgbClr val="7399C6"/>
          </a:solidFill>
          <a:round/>
          <a:headEnd/>
          <a:tailEnd/>
        </a:ln>
      </xdr:spPr>
    </xdr:sp>
    <xdr:clientData/>
  </xdr:twoCellAnchor>
  <xdr:twoCellAnchor>
    <xdr:from>
      <xdr:col>6</xdr:col>
      <xdr:colOff>219075</xdr:colOff>
      <xdr:row>28</xdr:row>
      <xdr:rowOff>85725</xdr:rowOff>
    </xdr:from>
    <xdr:to>
      <xdr:col>6</xdr:col>
      <xdr:colOff>466725</xdr:colOff>
      <xdr:row>30</xdr:row>
      <xdr:rowOff>133350</xdr:rowOff>
    </xdr:to>
    <xdr:sp macro="" textlink="">
      <xdr:nvSpPr>
        <xdr:cNvPr id="25678" name="S_MDA"/>
        <xdr:cNvSpPr>
          <a:spLocks noChangeAspect="1"/>
        </xdr:cNvSpPr>
      </xdr:nvSpPr>
      <xdr:spPr bwMode="auto">
        <a:xfrm>
          <a:off x="3905250" y="4629150"/>
          <a:ext cx="247650" cy="371475"/>
        </a:xfrm>
        <a:custGeom>
          <a:avLst/>
          <a:gdLst>
            <a:gd name="T0" fmla="*/ 94498 w 152"/>
            <a:gd name="T1" fmla="*/ 371475 h 240"/>
            <a:gd name="T2" fmla="*/ 104274 w 152"/>
            <a:gd name="T3" fmla="*/ 249198 h 240"/>
            <a:gd name="T4" fmla="*/ 94498 w 152"/>
            <a:gd name="T5" fmla="*/ 165616 h 240"/>
            <a:gd name="T6" fmla="*/ 60283 w 152"/>
            <a:gd name="T7" fmla="*/ 126921 h 240"/>
            <a:gd name="T8" fmla="*/ 0 w 152"/>
            <a:gd name="T9" fmla="*/ 18574 h 240"/>
            <a:gd name="T10" fmla="*/ 60283 w 152"/>
            <a:gd name="T11" fmla="*/ 0 h 240"/>
            <a:gd name="T12" fmla="*/ 76576 w 152"/>
            <a:gd name="T13" fmla="*/ 30956 h 240"/>
            <a:gd name="T14" fmla="*/ 94498 w 152"/>
            <a:gd name="T15" fmla="*/ 18574 h 240"/>
            <a:gd name="T16" fmla="*/ 115679 w 152"/>
            <a:gd name="T17" fmla="*/ 43339 h 240"/>
            <a:gd name="T18" fmla="*/ 143376 w 152"/>
            <a:gd name="T19" fmla="*/ 35600 h 240"/>
            <a:gd name="T20" fmla="*/ 203660 w 152"/>
            <a:gd name="T21" fmla="*/ 91321 h 240"/>
            <a:gd name="T22" fmla="*/ 215064 w 152"/>
            <a:gd name="T23" fmla="*/ 139303 h 240"/>
            <a:gd name="T24" fmla="*/ 244391 w 152"/>
            <a:gd name="T25" fmla="*/ 188833 h 240"/>
            <a:gd name="T26" fmla="*/ 247650 w 152"/>
            <a:gd name="T27" fmla="*/ 255389 h 240"/>
            <a:gd name="T28" fmla="*/ 219952 w 152"/>
            <a:gd name="T29" fmla="*/ 267772 h 240"/>
            <a:gd name="T30" fmla="*/ 198772 w 152"/>
            <a:gd name="T31" fmla="*/ 249198 h 240"/>
            <a:gd name="T32" fmla="*/ 185737 w 152"/>
            <a:gd name="T33" fmla="*/ 273963 h 240"/>
            <a:gd name="T34" fmla="*/ 166186 w 152"/>
            <a:gd name="T35" fmla="*/ 267772 h 240"/>
            <a:gd name="T36" fmla="*/ 159669 w 152"/>
            <a:gd name="T37" fmla="*/ 304919 h 240"/>
            <a:gd name="T38" fmla="*/ 153152 w 152"/>
            <a:gd name="T39" fmla="*/ 340519 h 240"/>
            <a:gd name="T40" fmla="*/ 138488 w 152"/>
            <a:gd name="T41" fmla="*/ 359093 h 240"/>
            <a:gd name="T42" fmla="*/ 94498 w 152"/>
            <a:gd name="T43" fmla="*/ 371475 h 240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w 152"/>
            <a:gd name="T67" fmla="*/ 0 h 240"/>
            <a:gd name="T68" fmla="*/ 152 w 152"/>
            <a:gd name="T69" fmla="*/ 240 h 240"/>
          </a:gdLst>
          <a:ahLst/>
          <a:cxnLst>
            <a:cxn ang="T44">
              <a:pos x="T0" y="T1"/>
            </a:cxn>
            <a:cxn ang="T45">
              <a:pos x="T2" y="T3"/>
            </a:cxn>
            <a:cxn ang="T46">
              <a:pos x="T4" y="T5"/>
            </a:cxn>
            <a:cxn ang="T47">
              <a:pos x="T6" y="T7"/>
            </a:cxn>
            <a:cxn ang="T48">
              <a:pos x="T8" y="T9"/>
            </a:cxn>
            <a:cxn ang="T49">
              <a:pos x="T10" y="T11"/>
            </a:cxn>
            <a:cxn ang="T50">
              <a:pos x="T12" y="T13"/>
            </a:cxn>
            <a:cxn ang="T51">
              <a:pos x="T14" y="T15"/>
            </a:cxn>
            <a:cxn ang="T52">
              <a:pos x="T16" y="T17"/>
            </a:cxn>
            <a:cxn ang="T53">
              <a:pos x="T18" y="T19"/>
            </a:cxn>
            <a:cxn ang="T54">
              <a:pos x="T20" y="T21"/>
            </a:cxn>
            <a:cxn ang="T55">
              <a:pos x="T22" y="T23"/>
            </a:cxn>
            <a:cxn ang="T56">
              <a:pos x="T24" y="T25"/>
            </a:cxn>
            <a:cxn ang="T57">
              <a:pos x="T26" y="T27"/>
            </a:cxn>
            <a:cxn ang="T58">
              <a:pos x="T28" y="T29"/>
            </a:cxn>
            <a:cxn ang="T59">
              <a:pos x="T30" y="T31"/>
            </a:cxn>
            <a:cxn ang="T60">
              <a:pos x="T32" y="T33"/>
            </a:cxn>
            <a:cxn ang="T61">
              <a:pos x="T34" y="T35"/>
            </a:cxn>
            <a:cxn ang="T62">
              <a:pos x="T36" y="T37"/>
            </a:cxn>
            <a:cxn ang="T63">
              <a:pos x="T38" y="T39"/>
            </a:cxn>
            <a:cxn ang="T64">
              <a:pos x="T40" y="T41"/>
            </a:cxn>
            <a:cxn ang="T65">
              <a:pos x="T42" y="T43"/>
            </a:cxn>
          </a:cxnLst>
          <a:rect l="T66" t="T67" r="T68" b="T69"/>
          <a:pathLst>
            <a:path w="152" h="240">
              <a:moveTo>
                <a:pt x="58" y="240"/>
              </a:moveTo>
              <a:lnTo>
                <a:pt x="64" y="161"/>
              </a:lnTo>
              <a:lnTo>
                <a:pt x="58" y="107"/>
              </a:lnTo>
              <a:lnTo>
                <a:pt x="37" y="82"/>
              </a:lnTo>
              <a:lnTo>
                <a:pt x="0" y="12"/>
              </a:lnTo>
              <a:lnTo>
                <a:pt x="37" y="0"/>
              </a:lnTo>
              <a:lnTo>
                <a:pt x="47" y="20"/>
              </a:lnTo>
              <a:lnTo>
                <a:pt x="58" y="12"/>
              </a:lnTo>
              <a:lnTo>
                <a:pt x="71" y="28"/>
              </a:lnTo>
              <a:lnTo>
                <a:pt x="88" y="23"/>
              </a:lnTo>
              <a:lnTo>
                <a:pt x="125" y="59"/>
              </a:lnTo>
              <a:lnTo>
                <a:pt x="132" y="90"/>
              </a:lnTo>
              <a:lnTo>
                <a:pt x="150" y="122"/>
              </a:lnTo>
              <a:lnTo>
                <a:pt x="152" y="165"/>
              </a:lnTo>
              <a:lnTo>
                <a:pt x="135" y="173"/>
              </a:lnTo>
              <a:lnTo>
                <a:pt x="122" y="161"/>
              </a:lnTo>
              <a:lnTo>
                <a:pt x="114" y="177"/>
              </a:lnTo>
              <a:lnTo>
                <a:pt x="102" y="173"/>
              </a:lnTo>
              <a:lnTo>
                <a:pt x="98" y="197"/>
              </a:lnTo>
              <a:lnTo>
                <a:pt x="94" y="220"/>
              </a:lnTo>
              <a:lnTo>
                <a:pt x="85" y="232"/>
              </a:lnTo>
              <a:lnTo>
                <a:pt x="58" y="240"/>
              </a:lnTo>
            </a:path>
          </a:pathLst>
        </a:custGeom>
        <a:solidFill>
          <a:srgbClr val="C6DAF1"/>
        </a:solidFill>
        <a:ln w="3175">
          <a:solidFill>
            <a:srgbClr val="C6DAF1"/>
          </a:solidFill>
          <a:round/>
          <a:headEnd/>
          <a:tailEnd/>
        </a:ln>
      </xdr:spPr>
    </xdr:sp>
    <xdr:clientData/>
  </xdr:twoCellAnchor>
  <xdr:twoCellAnchor>
    <xdr:from>
      <xdr:col>5</xdr:col>
      <xdr:colOff>342900</xdr:colOff>
      <xdr:row>5</xdr:row>
      <xdr:rowOff>9525</xdr:rowOff>
    </xdr:from>
    <xdr:to>
      <xdr:col>9</xdr:col>
      <xdr:colOff>104775</xdr:colOff>
      <xdr:row>34</xdr:row>
      <xdr:rowOff>19050</xdr:rowOff>
    </xdr:to>
    <xdr:grpSp>
      <xdr:nvGrpSpPr>
        <xdr:cNvPr id="25679" name="S_RUS"/>
        <xdr:cNvGrpSpPr>
          <a:grpSpLocks/>
        </xdr:cNvGrpSpPr>
      </xdr:nvGrpSpPr>
      <xdr:grpSpPr bwMode="auto">
        <a:xfrm>
          <a:off x="3314700" y="1257300"/>
          <a:ext cx="2619375" cy="4705350"/>
          <a:chOff x="348" y="104"/>
          <a:chExt cx="275" cy="494"/>
        </a:xfrm>
      </xdr:grpSpPr>
      <xdr:sp macro="" textlink="">
        <xdr:nvSpPr>
          <xdr:cNvPr id="25682" name="S_RUS2"/>
          <xdr:cNvSpPr>
            <a:spLocks noChangeAspect="1"/>
          </xdr:cNvSpPr>
        </xdr:nvSpPr>
        <xdr:spPr bwMode="auto">
          <a:xfrm>
            <a:off x="348" y="405"/>
            <a:ext cx="26" cy="15"/>
          </a:xfrm>
          <a:custGeom>
            <a:avLst/>
            <a:gdLst>
              <a:gd name="T0" fmla="*/ 0 w 157"/>
              <a:gd name="T1" fmla="*/ 12 h 95"/>
              <a:gd name="T2" fmla="*/ 5 w 157"/>
              <a:gd name="T3" fmla="*/ 9 h 95"/>
              <a:gd name="T4" fmla="*/ 1 w 157"/>
              <a:gd name="T5" fmla="*/ 9 h 95"/>
              <a:gd name="T6" fmla="*/ 2 w 157"/>
              <a:gd name="T7" fmla="*/ 6 h 95"/>
              <a:gd name="T8" fmla="*/ 5 w 157"/>
              <a:gd name="T9" fmla="*/ 6 h 95"/>
              <a:gd name="T10" fmla="*/ 8 w 157"/>
              <a:gd name="T11" fmla="*/ 1 h 95"/>
              <a:gd name="T12" fmla="*/ 7 w 157"/>
              <a:gd name="T13" fmla="*/ 7 h 95"/>
              <a:gd name="T14" fmla="*/ 11 w 157"/>
              <a:gd name="T15" fmla="*/ 8 h 95"/>
              <a:gd name="T16" fmla="*/ 12 w 157"/>
              <a:gd name="T17" fmla="*/ 5 h 95"/>
              <a:gd name="T18" fmla="*/ 12 w 157"/>
              <a:gd name="T19" fmla="*/ 0 h 95"/>
              <a:gd name="T20" fmla="*/ 14 w 157"/>
              <a:gd name="T21" fmla="*/ 0 h 95"/>
              <a:gd name="T22" fmla="*/ 16 w 157"/>
              <a:gd name="T23" fmla="*/ 1 h 95"/>
              <a:gd name="T24" fmla="*/ 19 w 157"/>
              <a:gd name="T25" fmla="*/ 3 h 95"/>
              <a:gd name="T26" fmla="*/ 25 w 157"/>
              <a:gd name="T27" fmla="*/ 3 h 95"/>
              <a:gd name="T28" fmla="*/ 26 w 157"/>
              <a:gd name="T29" fmla="*/ 8 h 95"/>
              <a:gd name="T30" fmla="*/ 26 w 157"/>
              <a:gd name="T31" fmla="*/ 15 h 95"/>
              <a:gd name="T32" fmla="*/ 13 w 157"/>
              <a:gd name="T33" fmla="*/ 15 h 95"/>
              <a:gd name="T34" fmla="*/ 3 w 157"/>
              <a:gd name="T35" fmla="*/ 12 h 95"/>
              <a:gd name="T36" fmla="*/ 0 w 157"/>
              <a:gd name="T37" fmla="*/ 12 h 95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w 157"/>
              <a:gd name="T58" fmla="*/ 0 h 95"/>
              <a:gd name="T59" fmla="*/ 157 w 157"/>
              <a:gd name="T60" fmla="*/ 95 h 95"/>
            </a:gdLst>
            <a:ahLst/>
            <a:cxnLst>
              <a:cxn ang="T38">
                <a:pos x="T0" y="T1"/>
              </a:cxn>
              <a:cxn ang="T39">
                <a:pos x="T2" y="T3"/>
              </a:cxn>
              <a:cxn ang="T40">
                <a:pos x="T4" y="T5"/>
              </a:cxn>
              <a:cxn ang="T41">
                <a:pos x="T6" y="T7"/>
              </a:cxn>
              <a:cxn ang="T42">
                <a:pos x="T8" y="T9"/>
              </a:cxn>
              <a:cxn ang="T43">
                <a:pos x="T10" y="T11"/>
              </a:cxn>
              <a:cxn ang="T44">
                <a:pos x="T12" y="T13"/>
              </a:cxn>
              <a:cxn ang="T45">
                <a:pos x="T14" y="T15"/>
              </a:cxn>
              <a:cxn ang="T46">
                <a:pos x="T16" y="T17"/>
              </a:cxn>
              <a:cxn ang="T47">
                <a:pos x="T18" y="T19"/>
              </a:cxn>
              <a:cxn ang="T48">
                <a:pos x="T20" y="T21"/>
              </a:cxn>
              <a:cxn ang="T49">
                <a:pos x="T22" y="T23"/>
              </a:cxn>
              <a:cxn ang="T50">
                <a:pos x="T24" y="T25"/>
              </a:cxn>
              <a:cxn ang="T51">
                <a:pos x="T26" y="T27"/>
              </a:cxn>
              <a:cxn ang="T52">
                <a:pos x="T28" y="T29"/>
              </a:cxn>
              <a:cxn ang="T53">
                <a:pos x="T30" y="T31"/>
              </a:cxn>
              <a:cxn ang="T54">
                <a:pos x="T32" y="T33"/>
              </a:cxn>
              <a:cxn ang="T55">
                <a:pos x="T34" y="T35"/>
              </a:cxn>
              <a:cxn ang="T56">
                <a:pos x="T36" y="T37"/>
              </a:cxn>
            </a:cxnLst>
            <a:rect l="T57" t="T58" r="T59" b="T60"/>
            <a:pathLst>
              <a:path w="157" h="95">
                <a:moveTo>
                  <a:pt x="0" y="73"/>
                </a:moveTo>
                <a:lnTo>
                  <a:pt x="29" y="60"/>
                </a:lnTo>
                <a:lnTo>
                  <a:pt x="6" y="60"/>
                </a:lnTo>
                <a:lnTo>
                  <a:pt x="13" y="41"/>
                </a:lnTo>
                <a:lnTo>
                  <a:pt x="32" y="35"/>
                </a:lnTo>
                <a:lnTo>
                  <a:pt x="51" y="6"/>
                </a:lnTo>
                <a:lnTo>
                  <a:pt x="42" y="44"/>
                </a:lnTo>
                <a:lnTo>
                  <a:pt x="67" y="51"/>
                </a:lnTo>
                <a:lnTo>
                  <a:pt x="74" y="29"/>
                </a:lnTo>
                <a:lnTo>
                  <a:pt x="70" y="0"/>
                </a:lnTo>
                <a:lnTo>
                  <a:pt x="83" y="3"/>
                </a:lnTo>
                <a:lnTo>
                  <a:pt x="96" y="8"/>
                </a:lnTo>
                <a:lnTo>
                  <a:pt x="116" y="21"/>
                </a:lnTo>
                <a:lnTo>
                  <a:pt x="150" y="18"/>
                </a:lnTo>
                <a:lnTo>
                  <a:pt x="157" y="51"/>
                </a:lnTo>
                <a:lnTo>
                  <a:pt x="154" y="95"/>
                </a:lnTo>
                <a:lnTo>
                  <a:pt x="77" y="92"/>
                </a:lnTo>
                <a:lnTo>
                  <a:pt x="16" y="79"/>
                </a:lnTo>
                <a:lnTo>
                  <a:pt x="0" y="73"/>
                </a:lnTo>
              </a:path>
            </a:pathLst>
          </a:custGeom>
          <a:solidFill>
            <a:srgbClr val="17375D"/>
          </a:solidFill>
          <a:ln w="3175">
            <a:solidFill>
              <a:srgbClr val="17375D"/>
            </a:solidFill>
            <a:round/>
            <a:headEnd/>
            <a:tailEnd/>
          </a:ln>
        </xdr:spPr>
      </xdr:sp>
      <xdr:sp macro="" textlink="">
        <xdr:nvSpPr>
          <xdr:cNvPr id="25683" name="S_RUS1"/>
          <xdr:cNvSpPr>
            <a:spLocks noChangeAspect="1"/>
          </xdr:cNvSpPr>
        </xdr:nvSpPr>
        <xdr:spPr bwMode="auto">
          <a:xfrm>
            <a:off x="411" y="104"/>
            <a:ext cx="212" cy="494"/>
          </a:xfrm>
          <a:custGeom>
            <a:avLst/>
            <a:gdLst>
              <a:gd name="T0" fmla="*/ 1 w 1267"/>
              <a:gd name="T1" fmla="*/ 247 h 3029"/>
              <a:gd name="T2" fmla="*/ 6 w 1267"/>
              <a:gd name="T3" fmla="*/ 225 h 3029"/>
              <a:gd name="T4" fmla="*/ 22 w 1267"/>
              <a:gd name="T5" fmla="*/ 217 h 3029"/>
              <a:gd name="T6" fmla="*/ 12 w 1267"/>
              <a:gd name="T7" fmla="*/ 206 h 3029"/>
              <a:gd name="T8" fmla="*/ 17 w 1267"/>
              <a:gd name="T9" fmla="*/ 197 h 3029"/>
              <a:gd name="T10" fmla="*/ 33 w 1267"/>
              <a:gd name="T11" fmla="*/ 218 h 3029"/>
              <a:gd name="T12" fmla="*/ 47 w 1267"/>
              <a:gd name="T13" fmla="*/ 207 h 3029"/>
              <a:gd name="T14" fmla="*/ 33 w 1267"/>
              <a:gd name="T15" fmla="*/ 184 h 3029"/>
              <a:gd name="T16" fmla="*/ 21 w 1267"/>
              <a:gd name="T17" fmla="*/ 195 h 3029"/>
              <a:gd name="T18" fmla="*/ 20 w 1267"/>
              <a:gd name="T19" fmla="*/ 150 h 3029"/>
              <a:gd name="T20" fmla="*/ 20 w 1267"/>
              <a:gd name="T21" fmla="*/ 102 h 3029"/>
              <a:gd name="T22" fmla="*/ 21 w 1267"/>
              <a:gd name="T23" fmla="*/ 53 h 3029"/>
              <a:gd name="T24" fmla="*/ 20 w 1267"/>
              <a:gd name="T25" fmla="*/ 12 h 3029"/>
              <a:gd name="T26" fmla="*/ 34 w 1267"/>
              <a:gd name="T27" fmla="*/ 8 h 3029"/>
              <a:gd name="T28" fmla="*/ 41 w 1267"/>
              <a:gd name="T29" fmla="*/ 6 h 3029"/>
              <a:gd name="T30" fmla="*/ 70 w 1267"/>
              <a:gd name="T31" fmla="*/ 21 h 3029"/>
              <a:gd name="T32" fmla="*/ 104 w 1267"/>
              <a:gd name="T33" fmla="*/ 38 h 3029"/>
              <a:gd name="T34" fmla="*/ 117 w 1267"/>
              <a:gd name="T35" fmla="*/ 91 h 3029"/>
              <a:gd name="T36" fmla="*/ 49 w 1267"/>
              <a:gd name="T37" fmla="*/ 73 h 3029"/>
              <a:gd name="T38" fmla="*/ 58 w 1267"/>
              <a:gd name="T39" fmla="*/ 89 h 3029"/>
              <a:gd name="T40" fmla="*/ 66 w 1267"/>
              <a:gd name="T41" fmla="*/ 132 h 3029"/>
              <a:gd name="T42" fmla="*/ 89 w 1267"/>
              <a:gd name="T43" fmla="*/ 132 h 3029"/>
              <a:gd name="T44" fmla="*/ 120 w 1267"/>
              <a:gd name="T45" fmla="*/ 128 h 3029"/>
              <a:gd name="T46" fmla="*/ 122 w 1267"/>
              <a:gd name="T47" fmla="*/ 100 h 3029"/>
              <a:gd name="T48" fmla="*/ 158 w 1267"/>
              <a:gd name="T49" fmla="*/ 69 h 3029"/>
              <a:gd name="T50" fmla="*/ 146 w 1267"/>
              <a:gd name="T51" fmla="*/ 32 h 3029"/>
              <a:gd name="T52" fmla="*/ 166 w 1267"/>
              <a:gd name="T53" fmla="*/ 54 h 3029"/>
              <a:gd name="T54" fmla="*/ 190 w 1267"/>
              <a:gd name="T55" fmla="*/ 57 h 3029"/>
              <a:gd name="T56" fmla="*/ 199 w 1267"/>
              <a:gd name="T57" fmla="*/ 380 h 3029"/>
              <a:gd name="T58" fmla="*/ 180 w 1267"/>
              <a:gd name="T59" fmla="*/ 384 h 3029"/>
              <a:gd name="T60" fmla="*/ 181 w 1267"/>
              <a:gd name="T61" fmla="*/ 408 h 3029"/>
              <a:gd name="T62" fmla="*/ 198 w 1267"/>
              <a:gd name="T63" fmla="*/ 423 h 3029"/>
              <a:gd name="T64" fmla="*/ 184 w 1267"/>
              <a:gd name="T65" fmla="*/ 436 h 3029"/>
              <a:gd name="T66" fmla="*/ 185 w 1267"/>
              <a:gd name="T67" fmla="*/ 470 h 3029"/>
              <a:gd name="T68" fmla="*/ 191 w 1267"/>
              <a:gd name="T69" fmla="*/ 494 h 3029"/>
              <a:gd name="T70" fmla="*/ 176 w 1267"/>
              <a:gd name="T71" fmla="*/ 483 h 3029"/>
              <a:gd name="T72" fmla="*/ 158 w 1267"/>
              <a:gd name="T73" fmla="*/ 473 h 3029"/>
              <a:gd name="T74" fmla="*/ 146 w 1267"/>
              <a:gd name="T75" fmla="*/ 473 h 3029"/>
              <a:gd name="T76" fmla="*/ 116 w 1267"/>
              <a:gd name="T77" fmla="*/ 465 h 3029"/>
              <a:gd name="T78" fmla="*/ 91 w 1267"/>
              <a:gd name="T79" fmla="*/ 439 h 3029"/>
              <a:gd name="T80" fmla="*/ 97 w 1267"/>
              <a:gd name="T81" fmla="*/ 426 h 3029"/>
              <a:gd name="T82" fmla="*/ 109 w 1267"/>
              <a:gd name="T83" fmla="*/ 417 h 3029"/>
              <a:gd name="T84" fmla="*/ 114 w 1267"/>
              <a:gd name="T85" fmla="*/ 399 h 3029"/>
              <a:gd name="T86" fmla="*/ 106 w 1267"/>
              <a:gd name="T87" fmla="*/ 382 h 3029"/>
              <a:gd name="T88" fmla="*/ 94 w 1267"/>
              <a:gd name="T89" fmla="*/ 378 h 3029"/>
              <a:gd name="T90" fmla="*/ 74 w 1267"/>
              <a:gd name="T91" fmla="*/ 374 h 3029"/>
              <a:gd name="T92" fmla="*/ 60 w 1267"/>
              <a:gd name="T93" fmla="*/ 351 h 3029"/>
              <a:gd name="T94" fmla="*/ 40 w 1267"/>
              <a:gd name="T95" fmla="*/ 350 h 3029"/>
              <a:gd name="T96" fmla="*/ 40 w 1267"/>
              <a:gd name="T97" fmla="*/ 333 h 3029"/>
              <a:gd name="T98" fmla="*/ 36 w 1267"/>
              <a:gd name="T99" fmla="*/ 326 h 3029"/>
              <a:gd name="T100" fmla="*/ 33 w 1267"/>
              <a:gd name="T101" fmla="*/ 304 h 3029"/>
              <a:gd name="T102" fmla="*/ 10 w 1267"/>
              <a:gd name="T103" fmla="*/ 289 h 3029"/>
              <a:gd name="T104" fmla="*/ 4 w 1267"/>
              <a:gd name="T105" fmla="*/ 268 h 3029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w 1267"/>
              <a:gd name="T160" fmla="*/ 0 h 3029"/>
              <a:gd name="T161" fmla="*/ 1267 w 1267"/>
              <a:gd name="T162" fmla="*/ 3029 h 3029"/>
            </a:gdLst>
            <a:ahLst/>
            <a:cxnLst>
              <a:cxn ang="T106">
                <a:pos x="T0" y="T1"/>
              </a:cxn>
              <a:cxn ang="T107">
                <a:pos x="T2" y="T3"/>
              </a:cxn>
              <a:cxn ang="T108">
                <a:pos x="T4" y="T5"/>
              </a:cxn>
              <a:cxn ang="T109">
                <a:pos x="T6" y="T7"/>
              </a:cxn>
              <a:cxn ang="T110">
                <a:pos x="T8" y="T9"/>
              </a:cxn>
              <a:cxn ang="T111">
                <a:pos x="T10" y="T11"/>
              </a:cxn>
              <a:cxn ang="T112">
                <a:pos x="T12" y="T13"/>
              </a:cxn>
              <a:cxn ang="T113">
                <a:pos x="T14" y="T15"/>
              </a:cxn>
              <a:cxn ang="T114">
                <a:pos x="T16" y="T17"/>
              </a:cxn>
              <a:cxn ang="T115">
                <a:pos x="T18" y="T19"/>
              </a:cxn>
              <a:cxn ang="T116">
                <a:pos x="T20" y="T21"/>
              </a:cxn>
              <a:cxn ang="T117">
                <a:pos x="T22" y="T23"/>
              </a:cxn>
              <a:cxn ang="T118">
                <a:pos x="T24" y="T25"/>
              </a:cxn>
              <a:cxn ang="T119">
                <a:pos x="T26" y="T27"/>
              </a:cxn>
              <a:cxn ang="T120">
                <a:pos x="T28" y="T29"/>
              </a:cxn>
              <a:cxn ang="T121">
                <a:pos x="T30" y="T31"/>
              </a:cxn>
              <a:cxn ang="T122">
                <a:pos x="T32" y="T33"/>
              </a:cxn>
              <a:cxn ang="T123">
                <a:pos x="T34" y="T35"/>
              </a:cxn>
              <a:cxn ang="T124">
                <a:pos x="T36" y="T37"/>
              </a:cxn>
              <a:cxn ang="T125">
                <a:pos x="T38" y="T39"/>
              </a:cxn>
              <a:cxn ang="T126">
                <a:pos x="T40" y="T41"/>
              </a:cxn>
              <a:cxn ang="T127">
                <a:pos x="T42" y="T43"/>
              </a:cxn>
              <a:cxn ang="T128">
                <a:pos x="T44" y="T45"/>
              </a:cxn>
              <a:cxn ang="T129">
                <a:pos x="T46" y="T47"/>
              </a:cxn>
              <a:cxn ang="T130">
                <a:pos x="T48" y="T49"/>
              </a:cxn>
              <a:cxn ang="T131">
                <a:pos x="T50" y="T51"/>
              </a:cxn>
              <a:cxn ang="T132">
                <a:pos x="T52" y="T53"/>
              </a:cxn>
              <a:cxn ang="T133">
                <a:pos x="T54" y="T55"/>
              </a:cxn>
              <a:cxn ang="T134">
                <a:pos x="T56" y="T57"/>
              </a:cxn>
              <a:cxn ang="T135">
                <a:pos x="T58" y="T59"/>
              </a:cxn>
              <a:cxn ang="T136">
                <a:pos x="T60" y="T61"/>
              </a:cxn>
              <a:cxn ang="T137">
                <a:pos x="T62" y="T63"/>
              </a:cxn>
              <a:cxn ang="T138">
                <a:pos x="T64" y="T65"/>
              </a:cxn>
              <a:cxn ang="T139">
                <a:pos x="T66" y="T67"/>
              </a:cxn>
              <a:cxn ang="T140">
                <a:pos x="T68" y="T69"/>
              </a:cxn>
              <a:cxn ang="T141">
                <a:pos x="T70" y="T71"/>
              </a:cxn>
              <a:cxn ang="T142">
                <a:pos x="T72" y="T73"/>
              </a:cxn>
              <a:cxn ang="T143">
                <a:pos x="T74" y="T75"/>
              </a:cxn>
              <a:cxn ang="T144">
                <a:pos x="T76" y="T77"/>
              </a:cxn>
              <a:cxn ang="T145">
                <a:pos x="T78" y="T79"/>
              </a:cxn>
              <a:cxn ang="T146">
                <a:pos x="T80" y="T81"/>
              </a:cxn>
              <a:cxn ang="T147">
                <a:pos x="T82" y="T83"/>
              </a:cxn>
              <a:cxn ang="T148">
                <a:pos x="T84" y="T85"/>
              </a:cxn>
              <a:cxn ang="T149">
                <a:pos x="T86" y="T87"/>
              </a:cxn>
              <a:cxn ang="T150">
                <a:pos x="T88" y="T89"/>
              </a:cxn>
              <a:cxn ang="T151">
                <a:pos x="T90" y="T91"/>
              </a:cxn>
              <a:cxn ang="T152">
                <a:pos x="T92" y="T93"/>
              </a:cxn>
              <a:cxn ang="T153">
                <a:pos x="T94" y="T95"/>
              </a:cxn>
              <a:cxn ang="T154">
                <a:pos x="T96" y="T97"/>
              </a:cxn>
              <a:cxn ang="T155">
                <a:pos x="T98" y="T99"/>
              </a:cxn>
              <a:cxn ang="T156">
                <a:pos x="T100" y="T101"/>
              </a:cxn>
              <a:cxn ang="T157">
                <a:pos x="T102" y="T103"/>
              </a:cxn>
              <a:cxn ang="T158">
                <a:pos x="T104" y="T105"/>
              </a:cxn>
            </a:cxnLst>
            <a:rect l="T159" t="T160" r="T161" b="T162"/>
            <a:pathLst>
              <a:path w="1267" h="3029">
                <a:moveTo>
                  <a:pt x="11" y="1606"/>
                </a:moveTo>
                <a:lnTo>
                  <a:pt x="38" y="1591"/>
                </a:lnTo>
                <a:lnTo>
                  <a:pt x="46" y="1579"/>
                </a:lnTo>
                <a:lnTo>
                  <a:pt x="19" y="1549"/>
                </a:lnTo>
                <a:lnTo>
                  <a:pt x="4" y="1515"/>
                </a:lnTo>
                <a:lnTo>
                  <a:pt x="4" y="1499"/>
                </a:lnTo>
                <a:lnTo>
                  <a:pt x="0" y="1465"/>
                </a:lnTo>
                <a:lnTo>
                  <a:pt x="34" y="1446"/>
                </a:lnTo>
                <a:lnTo>
                  <a:pt x="53" y="1400"/>
                </a:lnTo>
                <a:lnTo>
                  <a:pt x="34" y="1378"/>
                </a:lnTo>
                <a:lnTo>
                  <a:pt x="38" y="1362"/>
                </a:lnTo>
                <a:lnTo>
                  <a:pt x="50" y="1374"/>
                </a:lnTo>
                <a:lnTo>
                  <a:pt x="84" y="1347"/>
                </a:lnTo>
                <a:lnTo>
                  <a:pt x="118" y="1355"/>
                </a:lnTo>
                <a:lnTo>
                  <a:pt x="134" y="1328"/>
                </a:lnTo>
                <a:lnTo>
                  <a:pt x="118" y="1317"/>
                </a:lnTo>
                <a:lnTo>
                  <a:pt x="80" y="1320"/>
                </a:lnTo>
                <a:lnTo>
                  <a:pt x="57" y="1294"/>
                </a:lnTo>
                <a:lnTo>
                  <a:pt x="69" y="1286"/>
                </a:lnTo>
                <a:lnTo>
                  <a:pt x="73" y="1263"/>
                </a:lnTo>
                <a:lnTo>
                  <a:pt x="50" y="1282"/>
                </a:lnTo>
                <a:lnTo>
                  <a:pt x="34" y="1282"/>
                </a:lnTo>
                <a:lnTo>
                  <a:pt x="69" y="1252"/>
                </a:lnTo>
                <a:lnTo>
                  <a:pt x="97" y="1222"/>
                </a:lnTo>
                <a:lnTo>
                  <a:pt x="103" y="1205"/>
                </a:lnTo>
                <a:lnTo>
                  <a:pt x="119" y="1184"/>
                </a:lnTo>
                <a:lnTo>
                  <a:pt x="125" y="1189"/>
                </a:lnTo>
                <a:lnTo>
                  <a:pt x="134" y="1233"/>
                </a:lnTo>
                <a:lnTo>
                  <a:pt x="156" y="1225"/>
                </a:lnTo>
                <a:lnTo>
                  <a:pt x="198" y="1339"/>
                </a:lnTo>
                <a:lnTo>
                  <a:pt x="221" y="1339"/>
                </a:lnTo>
                <a:lnTo>
                  <a:pt x="225" y="1305"/>
                </a:lnTo>
                <a:lnTo>
                  <a:pt x="256" y="1301"/>
                </a:lnTo>
                <a:lnTo>
                  <a:pt x="271" y="1317"/>
                </a:lnTo>
                <a:lnTo>
                  <a:pt x="282" y="1271"/>
                </a:lnTo>
                <a:lnTo>
                  <a:pt x="305" y="1263"/>
                </a:lnTo>
                <a:lnTo>
                  <a:pt x="282" y="1195"/>
                </a:lnTo>
                <a:lnTo>
                  <a:pt x="252" y="1172"/>
                </a:lnTo>
                <a:lnTo>
                  <a:pt x="225" y="1168"/>
                </a:lnTo>
                <a:lnTo>
                  <a:pt x="198" y="1130"/>
                </a:lnTo>
                <a:lnTo>
                  <a:pt x="156" y="1164"/>
                </a:lnTo>
                <a:lnTo>
                  <a:pt x="153" y="1202"/>
                </a:lnTo>
                <a:lnTo>
                  <a:pt x="134" y="1211"/>
                </a:lnTo>
                <a:lnTo>
                  <a:pt x="125" y="1207"/>
                </a:lnTo>
                <a:lnTo>
                  <a:pt x="125" y="1196"/>
                </a:lnTo>
                <a:lnTo>
                  <a:pt x="136" y="1163"/>
                </a:lnTo>
                <a:lnTo>
                  <a:pt x="221" y="1062"/>
                </a:lnTo>
                <a:lnTo>
                  <a:pt x="233" y="1027"/>
                </a:lnTo>
                <a:lnTo>
                  <a:pt x="179" y="955"/>
                </a:lnTo>
                <a:lnTo>
                  <a:pt x="122" y="917"/>
                </a:lnTo>
                <a:lnTo>
                  <a:pt x="164" y="871"/>
                </a:lnTo>
                <a:lnTo>
                  <a:pt x="126" y="826"/>
                </a:lnTo>
                <a:lnTo>
                  <a:pt x="149" y="803"/>
                </a:lnTo>
                <a:lnTo>
                  <a:pt x="118" y="784"/>
                </a:lnTo>
                <a:lnTo>
                  <a:pt x="122" y="628"/>
                </a:lnTo>
                <a:lnTo>
                  <a:pt x="156" y="613"/>
                </a:lnTo>
                <a:lnTo>
                  <a:pt x="130" y="559"/>
                </a:lnTo>
                <a:lnTo>
                  <a:pt x="103" y="483"/>
                </a:lnTo>
                <a:lnTo>
                  <a:pt x="69" y="438"/>
                </a:lnTo>
                <a:lnTo>
                  <a:pt x="126" y="323"/>
                </a:lnTo>
                <a:lnTo>
                  <a:pt x="122" y="289"/>
                </a:lnTo>
                <a:lnTo>
                  <a:pt x="69" y="259"/>
                </a:lnTo>
                <a:lnTo>
                  <a:pt x="53" y="205"/>
                </a:lnTo>
                <a:lnTo>
                  <a:pt x="80" y="133"/>
                </a:lnTo>
                <a:lnTo>
                  <a:pt x="122" y="76"/>
                </a:lnTo>
                <a:lnTo>
                  <a:pt x="114" y="42"/>
                </a:lnTo>
                <a:lnTo>
                  <a:pt x="126" y="38"/>
                </a:lnTo>
                <a:lnTo>
                  <a:pt x="156" y="68"/>
                </a:lnTo>
                <a:lnTo>
                  <a:pt x="168" y="23"/>
                </a:lnTo>
                <a:lnTo>
                  <a:pt x="202" y="46"/>
                </a:lnTo>
                <a:lnTo>
                  <a:pt x="221" y="34"/>
                </a:lnTo>
                <a:lnTo>
                  <a:pt x="225" y="0"/>
                </a:lnTo>
                <a:lnTo>
                  <a:pt x="305" y="34"/>
                </a:lnTo>
                <a:lnTo>
                  <a:pt x="286" y="49"/>
                </a:lnTo>
                <a:lnTo>
                  <a:pt x="248" y="38"/>
                </a:lnTo>
                <a:lnTo>
                  <a:pt x="237" y="57"/>
                </a:lnTo>
                <a:lnTo>
                  <a:pt x="321" y="91"/>
                </a:lnTo>
                <a:lnTo>
                  <a:pt x="313" y="141"/>
                </a:lnTo>
                <a:lnTo>
                  <a:pt x="336" y="129"/>
                </a:lnTo>
                <a:lnTo>
                  <a:pt x="420" y="126"/>
                </a:lnTo>
                <a:lnTo>
                  <a:pt x="427" y="114"/>
                </a:lnTo>
                <a:lnTo>
                  <a:pt x="443" y="114"/>
                </a:lnTo>
                <a:lnTo>
                  <a:pt x="504" y="148"/>
                </a:lnTo>
                <a:lnTo>
                  <a:pt x="603" y="247"/>
                </a:lnTo>
                <a:lnTo>
                  <a:pt x="622" y="236"/>
                </a:lnTo>
                <a:lnTo>
                  <a:pt x="706" y="304"/>
                </a:lnTo>
                <a:lnTo>
                  <a:pt x="706" y="335"/>
                </a:lnTo>
                <a:lnTo>
                  <a:pt x="748" y="350"/>
                </a:lnTo>
                <a:lnTo>
                  <a:pt x="748" y="449"/>
                </a:lnTo>
                <a:lnTo>
                  <a:pt x="702" y="559"/>
                </a:lnTo>
                <a:lnTo>
                  <a:pt x="645" y="594"/>
                </a:lnTo>
                <a:lnTo>
                  <a:pt x="496" y="571"/>
                </a:lnTo>
                <a:lnTo>
                  <a:pt x="393" y="537"/>
                </a:lnTo>
                <a:lnTo>
                  <a:pt x="328" y="495"/>
                </a:lnTo>
                <a:lnTo>
                  <a:pt x="290" y="445"/>
                </a:lnTo>
                <a:lnTo>
                  <a:pt x="263" y="449"/>
                </a:lnTo>
                <a:lnTo>
                  <a:pt x="275" y="502"/>
                </a:lnTo>
                <a:lnTo>
                  <a:pt x="305" y="514"/>
                </a:lnTo>
                <a:lnTo>
                  <a:pt x="309" y="533"/>
                </a:lnTo>
                <a:lnTo>
                  <a:pt x="347" y="548"/>
                </a:lnTo>
                <a:lnTo>
                  <a:pt x="393" y="575"/>
                </a:lnTo>
                <a:lnTo>
                  <a:pt x="408" y="628"/>
                </a:lnTo>
                <a:lnTo>
                  <a:pt x="389" y="700"/>
                </a:lnTo>
                <a:lnTo>
                  <a:pt x="408" y="746"/>
                </a:lnTo>
                <a:lnTo>
                  <a:pt x="397" y="807"/>
                </a:lnTo>
                <a:lnTo>
                  <a:pt x="447" y="811"/>
                </a:lnTo>
                <a:lnTo>
                  <a:pt x="496" y="864"/>
                </a:lnTo>
                <a:lnTo>
                  <a:pt x="584" y="864"/>
                </a:lnTo>
                <a:lnTo>
                  <a:pt x="580" y="818"/>
                </a:lnTo>
                <a:lnTo>
                  <a:pt x="534" y="807"/>
                </a:lnTo>
                <a:lnTo>
                  <a:pt x="496" y="757"/>
                </a:lnTo>
                <a:lnTo>
                  <a:pt x="523" y="715"/>
                </a:lnTo>
                <a:lnTo>
                  <a:pt x="550" y="727"/>
                </a:lnTo>
                <a:lnTo>
                  <a:pt x="672" y="791"/>
                </a:lnTo>
                <a:lnTo>
                  <a:pt x="717" y="784"/>
                </a:lnTo>
                <a:lnTo>
                  <a:pt x="710" y="757"/>
                </a:lnTo>
                <a:lnTo>
                  <a:pt x="679" y="712"/>
                </a:lnTo>
                <a:lnTo>
                  <a:pt x="672" y="674"/>
                </a:lnTo>
                <a:lnTo>
                  <a:pt x="706" y="647"/>
                </a:lnTo>
                <a:lnTo>
                  <a:pt x="729" y="613"/>
                </a:lnTo>
                <a:lnTo>
                  <a:pt x="771" y="605"/>
                </a:lnTo>
                <a:lnTo>
                  <a:pt x="809" y="537"/>
                </a:lnTo>
                <a:lnTo>
                  <a:pt x="920" y="590"/>
                </a:lnTo>
                <a:lnTo>
                  <a:pt x="943" y="491"/>
                </a:lnTo>
                <a:lnTo>
                  <a:pt x="943" y="422"/>
                </a:lnTo>
                <a:lnTo>
                  <a:pt x="893" y="411"/>
                </a:lnTo>
                <a:lnTo>
                  <a:pt x="897" y="331"/>
                </a:lnTo>
                <a:lnTo>
                  <a:pt x="916" y="263"/>
                </a:lnTo>
                <a:lnTo>
                  <a:pt x="866" y="209"/>
                </a:lnTo>
                <a:lnTo>
                  <a:pt x="874" y="198"/>
                </a:lnTo>
                <a:lnTo>
                  <a:pt x="931" y="221"/>
                </a:lnTo>
                <a:lnTo>
                  <a:pt x="977" y="217"/>
                </a:lnTo>
                <a:lnTo>
                  <a:pt x="1049" y="274"/>
                </a:lnTo>
                <a:lnTo>
                  <a:pt x="1069" y="316"/>
                </a:lnTo>
                <a:lnTo>
                  <a:pt x="992" y="331"/>
                </a:lnTo>
                <a:lnTo>
                  <a:pt x="969" y="381"/>
                </a:lnTo>
                <a:lnTo>
                  <a:pt x="1004" y="407"/>
                </a:lnTo>
                <a:lnTo>
                  <a:pt x="1027" y="472"/>
                </a:lnTo>
                <a:lnTo>
                  <a:pt x="1122" y="468"/>
                </a:lnTo>
                <a:lnTo>
                  <a:pt x="1133" y="350"/>
                </a:lnTo>
                <a:lnTo>
                  <a:pt x="1267" y="255"/>
                </a:lnTo>
                <a:lnTo>
                  <a:pt x="1214" y="2253"/>
                </a:lnTo>
                <a:lnTo>
                  <a:pt x="1191" y="2272"/>
                </a:lnTo>
                <a:lnTo>
                  <a:pt x="1172" y="2260"/>
                </a:lnTo>
                <a:lnTo>
                  <a:pt x="1191" y="2333"/>
                </a:lnTo>
                <a:lnTo>
                  <a:pt x="1164" y="2348"/>
                </a:lnTo>
                <a:lnTo>
                  <a:pt x="1111" y="2298"/>
                </a:lnTo>
                <a:lnTo>
                  <a:pt x="1099" y="2298"/>
                </a:lnTo>
                <a:lnTo>
                  <a:pt x="1095" y="2340"/>
                </a:lnTo>
                <a:lnTo>
                  <a:pt x="1076" y="2352"/>
                </a:lnTo>
                <a:lnTo>
                  <a:pt x="1061" y="2397"/>
                </a:lnTo>
                <a:lnTo>
                  <a:pt x="1069" y="2413"/>
                </a:lnTo>
                <a:lnTo>
                  <a:pt x="1049" y="2454"/>
                </a:lnTo>
                <a:lnTo>
                  <a:pt x="1084" y="2489"/>
                </a:lnTo>
                <a:lnTo>
                  <a:pt x="1080" y="2504"/>
                </a:lnTo>
                <a:lnTo>
                  <a:pt x="1099" y="2527"/>
                </a:lnTo>
                <a:lnTo>
                  <a:pt x="1107" y="2508"/>
                </a:lnTo>
                <a:lnTo>
                  <a:pt x="1137" y="2511"/>
                </a:lnTo>
                <a:lnTo>
                  <a:pt x="1175" y="2565"/>
                </a:lnTo>
                <a:lnTo>
                  <a:pt x="1183" y="2591"/>
                </a:lnTo>
                <a:lnTo>
                  <a:pt x="1168" y="2603"/>
                </a:lnTo>
                <a:lnTo>
                  <a:pt x="1179" y="2610"/>
                </a:lnTo>
                <a:lnTo>
                  <a:pt x="1179" y="2626"/>
                </a:lnTo>
                <a:lnTo>
                  <a:pt x="1149" y="2667"/>
                </a:lnTo>
                <a:lnTo>
                  <a:pt x="1099" y="2671"/>
                </a:lnTo>
                <a:lnTo>
                  <a:pt x="1061" y="2770"/>
                </a:lnTo>
                <a:lnTo>
                  <a:pt x="1084" y="2774"/>
                </a:lnTo>
                <a:lnTo>
                  <a:pt x="1103" y="2824"/>
                </a:lnTo>
                <a:lnTo>
                  <a:pt x="1122" y="2812"/>
                </a:lnTo>
                <a:lnTo>
                  <a:pt x="1103" y="2884"/>
                </a:lnTo>
                <a:lnTo>
                  <a:pt x="1172" y="2976"/>
                </a:lnTo>
                <a:lnTo>
                  <a:pt x="1179" y="2987"/>
                </a:lnTo>
                <a:lnTo>
                  <a:pt x="1160" y="3006"/>
                </a:lnTo>
                <a:lnTo>
                  <a:pt x="1153" y="3018"/>
                </a:lnTo>
                <a:lnTo>
                  <a:pt x="1141" y="3029"/>
                </a:lnTo>
                <a:lnTo>
                  <a:pt x="1114" y="3021"/>
                </a:lnTo>
                <a:lnTo>
                  <a:pt x="1084" y="2980"/>
                </a:lnTo>
                <a:lnTo>
                  <a:pt x="1072" y="2968"/>
                </a:lnTo>
                <a:lnTo>
                  <a:pt x="1049" y="2964"/>
                </a:lnTo>
                <a:lnTo>
                  <a:pt x="1049" y="2961"/>
                </a:lnTo>
                <a:lnTo>
                  <a:pt x="1019" y="2949"/>
                </a:lnTo>
                <a:lnTo>
                  <a:pt x="1023" y="2922"/>
                </a:lnTo>
                <a:lnTo>
                  <a:pt x="988" y="2926"/>
                </a:lnTo>
                <a:lnTo>
                  <a:pt x="977" y="2903"/>
                </a:lnTo>
                <a:lnTo>
                  <a:pt x="946" y="2900"/>
                </a:lnTo>
                <a:lnTo>
                  <a:pt x="939" y="2919"/>
                </a:lnTo>
                <a:lnTo>
                  <a:pt x="927" y="2911"/>
                </a:lnTo>
                <a:lnTo>
                  <a:pt x="908" y="2922"/>
                </a:lnTo>
                <a:lnTo>
                  <a:pt x="897" y="2892"/>
                </a:lnTo>
                <a:lnTo>
                  <a:pt x="874" y="2903"/>
                </a:lnTo>
                <a:lnTo>
                  <a:pt x="862" y="2873"/>
                </a:lnTo>
                <a:lnTo>
                  <a:pt x="794" y="2869"/>
                </a:lnTo>
                <a:lnTo>
                  <a:pt x="748" y="2850"/>
                </a:lnTo>
                <a:lnTo>
                  <a:pt x="706" y="2850"/>
                </a:lnTo>
                <a:lnTo>
                  <a:pt x="691" y="2850"/>
                </a:lnTo>
                <a:lnTo>
                  <a:pt x="679" y="2850"/>
                </a:lnTo>
                <a:lnTo>
                  <a:pt x="542" y="2717"/>
                </a:lnTo>
                <a:lnTo>
                  <a:pt x="515" y="2709"/>
                </a:lnTo>
                <a:lnTo>
                  <a:pt x="511" y="2694"/>
                </a:lnTo>
                <a:lnTo>
                  <a:pt x="546" y="2694"/>
                </a:lnTo>
                <a:lnTo>
                  <a:pt x="569" y="2679"/>
                </a:lnTo>
                <a:lnTo>
                  <a:pt x="565" y="2660"/>
                </a:lnTo>
                <a:lnTo>
                  <a:pt x="576" y="2641"/>
                </a:lnTo>
                <a:lnTo>
                  <a:pt x="603" y="2633"/>
                </a:lnTo>
                <a:lnTo>
                  <a:pt x="580" y="2610"/>
                </a:lnTo>
                <a:lnTo>
                  <a:pt x="565" y="2618"/>
                </a:lnTo>
                <a:lnTo>
                  <a:pt x="553" y="2591"/>
                </a:lnTo>
                <a:lnTo>
                  <a:pt x="592" y="2588"/>
                </a:lnTo>
                <a:lnTo>
                  <a:pt x="611" y="2569"/>
                </a:lnTo>
                <a:lnTo>
                  <a:pt x="649" y="2557"/>
                </a:lnTo>
                <a:lnTo>
                  <a:pt x="626" y="2538"/>
                </a:lnTo>
                <a:lnTo>
                  <a:pt x="603" y="2550"/>
                </a:lnTo>
                <a:lnTo>
                  <a:pt x="626" y="2492"/>
                </a:lnTo>
                <a:lnTo>
                  <a:pt x="668" y="2489"/>
                </a:lnTo>
                <a:lnTo>
                  <a:pt x="683" y="2447"/>
                </a:lnTo>
                <a:lnTo>
                  <a:pt x="672" y="2424"/>
                </a:lnTo>
                <a:lnTo>
                  <a:pt x="683" y="2420"/>
                </a:lnTo>
                <a:lnTo>
                  <a:pt x="672" y="2401"/>
                </a:lnTo>
                <a:lnTo>
                  <a:pt x="695" y="2374"/>
                </a:lnTo>
                <a:lnTo>
                  <a:pt x="634" y="2344"/>
                </a:lnTo>
                <a:lnTo>
                  <a:pt x="622" y="2329"/>
                </a:lnTo>
                <a:lnTo>
                  <a:pt x="603" y="2340"/>
                </a:lnTo>
                <a:lnTo>
                  <a:pt x="595" y="2321"/>
                </a:lnTo>
                <a:lnTo>
                  <a:pt x="569" y="2321"/>
                </a:lnTo>
                <a:lnTo>
                  <a:pt x="561" y="2317"/>
                </a:lnTo>
                <a:lnTo>
                  <a:pt x="557" y="2287"/>
                </a:lnTo>
                <a:lnTo>
                  <a:pt x="523" y="2295"/>
                </a:lnTo>
                <a:lnTo>
                  <a:pt x="504" y="2310"/>
                </a:lnTo>
                <a:lnTo>
                  <a:pt x="488" y="2295"/>
                </a:lnTo>
                <a:lnTo>
                  <a:pt x="443" y="2291"/>
                </a:lnTo>
                <a:lnTo>
                  <a:pt x="439" y="2238"/>
                </a:lnTo>
                <a:lnTo>
                  <a:pt x="420" y="2207"/>
                </a:lnTo>
                <a:lnTo>
                  <a:pt x="370" y="2192"/>
                </a:lnTo>
                <a:lnTo>
                  <a:pt x="374" y="2158"/>
                </a:lnTo>
                <a:lnTo>
                  <a:pt x="359" y="2154"/>
                </a:lnTo>
                <a:lnTo>
                  <a:pt x="340" y="2123"/>
                </a:lnTo>
                <a:lnTo>
                  <a:pt x="313" y="2123"/>
                </a:lnTo>
                <a:lnTo>
                  <a:pt x="282" y="2135"/>
                </a:lnTo>
                <a:lnTo>
                  <a:pt x="259" y="2141"/>
                </a:lnTo>
                <a:lnTo>
                  <a:pt x="237" y="2146"/>
                </a:lnTo>
                <a:lnTo>
                  <a:pt x="221" y="2135"/>
                </a:lnTo>
                <a:lnTo>
                  <a:pt x="221" y="2101"/>
                </a:lnTo>
                <a:lnTo>
                  <a:pt x="210" y="2062"/>
                </a:lnTo>
                <a:lnTo>
                  <a:pt x="218" y="2043"/>
                </a:lnTo>
                <a:lnTo>
                  <a:pt x="241" y="2039"/>
                </a:lnTo>
                <a:lnTo>
                  <a:pt x="260" y="2043"/>
                </a:lnTo>
                <a:lnTo>
                  <a:pt x="275" y="2017"/>
                </a:lnTo>
                <a:lnTo>
                  <a:pt x="252" y="2017"/>
                </a:lnTo>
                <a:lnTo>
                  <a:pt x="236" y="2006"/>
                </a:lnTo>
                <a:lnTo>
                  <a:pt x="218" y="1998"/>
                </a:lnTo>
                <a:lnTo>
                  <a:pt x="214" y="1960"/>
                </a:lnTo>
                <a:lnTo>
                  <a:pt x="198" y="1941"/>
                </a:lnTo>
                <a:lnTo>
                  <a:pt x="198" y="1918"/>
                </a:lnTo>
                <a:lnTo>
                  <a:pt x="187" y="1887"/>
                </a:lnTo>
                <a:lnTo>
                  <a:pt x="195" y="1865"/>
                </a:lnTo>
                <a:lnTo>
                  <a:pt x="179" y="1815"/>
                </a:lnTo>
                <a:lnTo>
                  <a:pt x="130" y="1801"/>
                </a:lnTo>
                <a:lnTo>
                  <a:pt x="103" y="1792"/>
                </a:lnTo>
                <a:lnTo>
                  <a:pt x="85" y="1778"/>
                </a:lnTo>
                <a:lnTo>
                  <a:pt x="57" y="1769"/>
                </a:lnTo>
                <a:lnTo>
                  <a:pt x="50" y="1750"/>
                </a:lnTo>
                <a:lnTo>
                  <a:pt x="34" y="1750"/>
                </a:lnTo>
                <a:lnTo>
                  <a:pt x="19" y="1743"/>
                </a:lnTo>
                <a:lnTo>
                  <a:pt x="11" y="1709"/>
                </a:lnTo>
                <a:lnTo>
                  <a:pt x="23" y="1644"/>
                </a:lnTo>
                <a:lnTo>
                  <a:pt x="31" y="1632"/>
                </a:lnTo>
                <a:lnTo>
                  <a:pt x="27" y="1617"/>
                </a:lnTo>
                <a:lnTo>
                  <a:pt x="11" y="1606"/>
                </a:lnTo>
              </a:path>
            </a:pathLst>
          </a:custGeom>
          <a:solidFill>
            <a:srgbClr val="17375D"/>
          </a:solidFill>
          <a:ln w="3175">
            <a:solidFill>
              <a:srgbClr val="17375D"/>
            </a:solidFill>
            <a:round/>
            <a:headEnd/>
            <a:tailEnd/>
          </a:ln>
        </xdr:spPr>
      </xdr:sp>
    </xdr:grpSp>
    <xdr:clientData/>
  </xdr:twoCellAnchor>
  <xdr:twoCellAnchor>
    <xdr:from>
      <xdr:col>5</xdr:col>
      <xdr:colOff>523875</xdr:colOff>
      <xdr:row>25</xdr:row>
      <xdr:rowOff>57150</xdr:rowOff>
    </xdr:from>
    <xdr:to>
      <xdr:col>7</xdr:col>
      <xdr:colOff>628650</xdr:colOff>
      <xdr:row>31</xdr:row>
      <xdr:rowOff>95250</xdr:rowOff>
    </xdr:to>
    <xdr:sp macro="" textlink="">
      <xdr:nvSpPr>
        <xdr:cNvPr id="25680" name="S_UKR"/>
        <xdr:cNvSpPr>
          <a:spLocks noChangeAspect="1"/>
        </xdr:cNvSpPr>
      </xdr:nvSpPr>
      <xdr:spPr bwMode="auto">
        <a:xfrm>
          <a:off x="3495675" y="4114800"/>
          <a:ext cx="1533525" cy="1009650"/>
        </a:xfrm>
        <a:custGeom>
          <a:avLst/>
          <a:gdLst>
            <a:gd name="T0" fmla="*/ 65223 w 964"/>
            <a:gd name="T1" fmla="*/ 425775 h 645"/>
            <a:gd name="T2" fmla="*/ 76358 w 964"/>
            <a:gd name="T3" fmla="*/ 324027 h 645"/>
            <a:gd name="T4" fmla="*/ 165443 w 964"/>
            <a:gd name="T5" fmla="*/ 253587 h 645"/>
            <a:gd name="T6" fmla="*/ 141581 w 964"/>
            <a:gd name="T7" fmla="*/ 194103 h 645"/>
            <a:gd name="T8" fmla="*/ 112946 w 964"/>
            <a:gd name="T9" fmla="*/ 76702 h 645"/>
            <a:gd name="T10" fmla="*/ 189304 w 964"/>
            <a:gd name="T11" fmla="*/ 40699 h 645"/>
            <a:gd name="T12" fmla="*/ 302251 w 964"/>
            <a:gd name="T13" fmla="*/ 40699 h 645"/>
            <a:gd name="T14" fmla="*/ 426333 w 964"/>
            <a:gd name="T15" fmla="*/ 64179 h 645"/>
            <a:gd name="T16" fmla="*/ 478829 w 964"/>
            <a:gd name="T17" fmla="*/ 123663 h 645"/>
            <a:gd name="T18" fmla="*/ 532916 w 964"/>
            <a:gd name="T19" fmla="*/ 106444 h 645"/>
            <a:gd name="T20" fmla="*/ 574277 w 964"/>
            <a:gd name="T21" fmla="*/ 112705 h 645"/>
            <a:gd name="T22" fmla="*/ 615637 w 964"/>
            <a:gd name="T23" fmla="*/ 123663 h 645"/>
            <a:gd name="T24" fmla="*/ 728583 w 964"/>
            <a:gd name="T25" fmla="*/ 142447 h 645"/>
            <a:gd name="T26" fmla="*/ 728583 w 964"/>
            <a:gd name="T27" fmla="*/ 76702 h 645"/>
            <a:gd name="T28" fmla="*/ 798578 w 964"/>
            <a:gd name="T29" fmla="*/ 17219 h 645"/>
            <a:gd name="T30" fmla="*/ 859029 w 964"/>
            <a:gd name="T31" fmla="*/ 0 h 645"/>
            <a:gd name="T32" fmla="*/ 941750 w 964"/>
            <a:gd name="T33" fmla="*/ 0 h 645"/>
            <a:gd name="T34" fmla="*/ 1011745 w 964"/>
            <a:gd name="T35" fmla="*/ 46960 h 645"/>
            <a:gd name="T36" fmla="*/ 1030834 w 964"/>
            <a:gd name="T37" fmla="*/ 106444 h 645"/>
            <a:gd name="T38" fmla="*/ 1137418 w 964"/>
            <a:gd name="T39" fmla="*/ 176884 h 645"/>
            <a:gd name="T40" fmla="*/ 1213776 w 964"/>
            <a:gd name="T41" fmla="*/ 266109 h 645"/>
            <a:gd name="T42" fmla="*/ 1267863 w 964"/>
            <a:gd name="T43" fmla="*/ 266109 h 645"/>
            <a:gd name="T44" fmla="*/ 1326722 w 964"/>
            <a:gd name="T45" fmla="*/ 300547 h 645"/>
            <a:gd name="T46" fmla="*/ 1379218 w 964"/>
            <a:gd name="T47" fmla="*/ 306808 h 645"/>
            <a:gd name="T48" fmla="*/ 1420579 w 964"/>
            <a:gd name="T49" fmla="*/ 319331 h 645"/>
            <a:gd name="T50" fmla="*/ 1533525 w 964"/>
            <a:gd name="T51" fmla="*/ 389772 h 645"/>
            <a:gd name="T52" fmla="*/ 1516026 w 964"/>
            <a:gd name="T53" fmla="*/ 460213 h 645"/>
            <a:gd name="T54" fmla="*/ 1516026 w 964"/>
            <a:gd name="T55" fmla="*/ 502477 h 645"/>
            <a:gd name="T56" fmla="*/ 1426942 w 964"/>
            <a:gd name="T57" fmla="*/ 572918 h 645"/>
            <a:gd name="T58" fmla="*/ 1344221 w 964"/>
            <a:gd name="T59" fmla="*/ 655881 h 645"/>
            <a:gd name="T60" fmla="*/ 1178778 w 964"/>
            <a:gd name="T61" fmla="*/ 743541 h 645"/>
            <a:gd name="T62" fmla="*/ 1118328 w 964"/>
            <a:gd name="T63" fmla="*/ 762325 h 645"/>
            <a:gd name="T64" fmla="*/ 1048333 w 964"/>
            <a:gd name="T65" fmla="*/ 785805 h 645"/>
            <a:gd name="T66" fmla="*/ 1237637 w 964"/>
            <a:gd name="T67" fmla="*/ 873465 h 645"/>
            <a:gd name="T68" fmla="*/ 1178778 w 964"/>
            <a:gd name="T69" fmla="*/ 939209 h 645"/>
            <a:gd name="T70" fmla="*/ 1107192 w 964"/>
            <a:gd name="T71" fmla="*/ 956428 h 645"/>
            <a:gd name="T72" fmla="*/ 1006972 w 964"/>
            <a:gd name="T73" fmla="*/ 1009650 h 645"/>
            <a:gd name="T74" fmla="*/ 970384 w 964"/>
            <a:gd name="T75" fmla="*/ 962690 h 645"/>
            <a:gd name="T76" fmla="*/ 929024 w 964"/>
            <a:gd name="T77" fmla="*/ 892249 h 645"/>
            <a:gd name="T78" fmla="*/ 948113 w 964"/>
            <a:gd name="T79" fmla="*/ 820243 h 645"/>
            <a:gd name="T80" fmla="*/ 976747 w 964"/>
            <a:gd name="T81" fmla="*/ 790501 h 645"/>
            <a:gd name="T82" fmla="*/ 798578 w 964"/>
            <a:gd name="T83" fmla="*/ 785805 h 645"/>
            <a:gd name="T84" fmla="*/ 787443 w 964"/>
            <a:gd name="T85" fmla="*/ 743541 h 645"/>
            <a:gd name="T86" fmla="*/ 739719 w 964"/>
            <a:gd name="T87" fmla="*/ 732583 h 645"/>
            <a:gd name="T88" fmla="*/ 674496 w 964"/>
            <a:gd name="T89" fmla="*/ 749802 h 645"/>
            <a:gd name="T90" fmla="*/ 698358 w 964"/>
            <a:gd name="T91" fmla="*/ 803024 h 645"/>
            <a:gd name="T92" fmla="*/ 622000 w 964"/>
            <a:gd name="T93" fmla="*/ 885987 h 645"/>
            <a:gd name="T94" fmla="*/ 585412 w 964"/>
            <a:gd name="T95" fmla="*/ 892249 h 645"/>
            <a:gd name="T96" fmla="*/ 515417 w 964"/>
            <a:gd name="T97" fmla="*/ 903206 h 645"/>
            <a:gd name="T98" fmla="*/ 539279 w 964"/>
            <a:gd name="T99" fmla="*/ 867203 h 645"/>
            <a:gd name="T100" fmla="*/ 563141 w 964"/>
            <a:gd name="T101" fmla="*/ 815547 h 645"/>
            <a:gd name="T102" fmla="*/ 591775 w 964"/>
            <a:gd name="T103" fmla="*/ 785805 h 645"/>
            <a:gd name="T104" fmla="*/ 628363 w 964"/>
            <a:gd name="T105" fmla="*/ 779544 h 645"/>
            <a:gd name="T106" fmla="*/ 641090 w 964"/>
            <a:gd name="T107" fmla="*/ 716930 h 645"/>
            <a:gd name="T108" fmla="*/ 604502 w 964"/>
            <a:gd name="T109" fmla="*/ 608921 h 645"/>
            <a:gd name="T110" fmla="*/ 515417 w 964"/>
            <a:gd name="T111" fmla="*/ 560395 h 645"/>
            <a:gd name="T112" fmla="*/ 474057 w 964"/>
            <a:gd name="T113" fmla="*/ 549437 h 645"/>
            <a:gd name="T114" fmla="*/ 394517 w 964"/>
            <a:gd name="T115" fmla="*/ 543176 h 645"/>
            <a:gd name="T116" fmla="*/ 103402 w 964"/>
            <a:gd name="T117" fmla="*/ 557264 h 645"/>
            <a:gd name="T118" fmla="*/ 0 w 964"/>
            <a:gd name="T119" fmla="*/ 502477 h 645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w 964"/>
            <a:gd name="T181" fmla="*/ 0 h 645"/>
            <a:gd name="T182" fmla="*/ 964 w 964"/>
            <a:gd name="T183" fmla="*/ 645 h 645"/>
          </a:gdLst>
          <a:ahLst/>
          <a:cxnLst>
            <a:cxn ang="T120">
              <a:pos x="T0" y="T1"/>
            </a:cxn>
            <a:cxn ang="T121">
              <a:pos x="T2" y="T3"/>
            </a:cxn>
            <a:cxn ang="T122">
              <a:pos x="T4" y="T5"/>
            </a:cxn>
            <a:cxn ang="T123">
              <a:pos x="T6" y="T7"/>
            </a:cxn>
            <a:cxn ang="T124">
              <a:pos x="T8" y="T9"/>
            </a:cxn>
            <a:cxn ang="T125">
              <a:pos x="T10" y="T11"/>
            </a:cxn>
            <a:cxn ang="T126">
              <a:pos x="T12" y="T13"/>
            </a:cxn>
            <a:cxn ang="T127">
              <a:pos x="T14" y="T15"/>
            </a:cxn>
            <a:cxn ang="T128">
              <a:pos x="T16" y="T17"/>
            </a:cxn>
            <a:cxn ang="T129">
              <a:pos x="T18" y="T19"/>
            </a:cxn>
            <a:cxn ang="T130">
              <a:pos x="T20" y="T21"/>
            </a:cxn>
            <a:cxn ang="T131">
              <a:pos x="T22" y="T23"/>
            </a:cxn>
            <a:cxn ang="T132">
              <a:pos x="T24" y="T25"/>
            </a:cxn>
            <a:cxn ang="T133">
              <a:pos x="T26" y="T27"/>
            </a:cxn>
            <a:cxn ang="T134">
              <a:pos x="T28" y="T29"/>
            </a:cxn>
            <a:cxn ang="T135">
              <a:pos x="T30" y="T31"/>
            </a:cxn>
            <a:cxn ang="T136">
              <a:pos x="T32" y="T33"/>
            </a:cxn>
            <a:cxn ang="T137">
              <a:pos x="T34" y="T35"/>
            </a:cxn>
            <a:cxn ang="T138">
              <a:pos x="T36" y="T37"/>
            </a:cxn>
            <a:cxn ang="T139">
              <a:pos x="T38" y="T39"/>
            </a:cxn>
            <a:cxn ang="T140">
              <a:pos x="T40" y="T41"/>
            </a:cxn>
            <a:cxn ang="T141">
              <a:pos x="T42" y="T43"/>
            </a:cxn>
            <a:cxn ang="T142">
              <a:pos x="T44" y="T45"/>
            </a:cxn>
            <a:cxn ang="T143">
              <a:pos x="T46" y="T47"/>
            </a:cxn>
            <a:cxn ang="T144">
              <a:pos x="T48" y="T49"/>
            </a:cxn>
            <a:cxn ang="T145">
              <a:pos x="T50" y="T51"/>
            </a:cxn>
            <a:cxn ang="T146">
              <a:pos x="T52" y="T53"/>
            </a:cxn>
            <a:cxn ang="T147">
              <a:pos x="T54" y="T55"/>
            </a:cxn>
            <a:cxn ang="T148">
              <a:pos x="T56" y="T57"/>
            </a:cxn>
            <a:cxn ang="T149">
              <a:pos x="T58" y="T59"/>
            </a:cxn>
            <a:cxn ang="T150">
              <a:pos x="T60" y="T61"/>
            </a:cxn>
            <a:cxn ang="T151">
              <a:pos x="T62" y="T63"/>
            </a:cxn>
            <a:cxn ang="T152">
              <a:pos x="T64" y="T65"/>
            </a:cxn>
            <a:cxn ang="T153">
              <a:pos x="T66" y="T67"/>
            </a:cxn>
            <a:cxn ang="T154">
              <a:pos x="T68" y="T69"/>
            </a:cxn>
            <a:cxn ang="T155">
              <a:pos x="T70" y="T71"/>
            </a:cxn>
            <a:cxn ang="T156">
              <a:pos x="T72" y="T73"/>
            </a:cxn>
            <a:cxn ang="T157">
              <a:pos x="T74" y="T75"/>
            </a:cxn>
            <a:cxn ang="T158">
              <a:pos x="T76" y="T77"/>
            </a:cxn>
            <a:cxn ang="T159">
              <a:pos x="T78" y="T79"/>
            </a:cxn>
            <a:cxn ang="T160">
              <a:pos x="T80" y="T81"/>
            </a:cxn>
            <a:cxn ang="T161">
              <a:pos x="T82" y="T83"/>
            </a:cxn>
            <a:cxn ang="T162">
              <a:pos x="T84" y="T85"/>
            </a:cxn>
            <a:cxn ang="T163">
              <a:pos x="T86" y="T87"/>
            </a:cxn>
            <a:cxn ang="T164">
              <a:pos x="T88" y="T89"/>
            </a:cxn>
            <a:cxn ang="T165">
              <a:pos x="T90" y="T91"/>
            </a:cxn>
            <a:cxn ang="T166">
              <a:pos x="T92" y="T93"/>
            </a:cxn>
            <a:cxn ang="T167">
              <a:pos x="T94" y="T95"/>
            </a:cxn>
            <a:cxn ang="T168">
              <a:pos x="T96" y="T97"/>
            </a:cxn>
            <a:cxn ang="T169">
              <a:pos x="T98" y="T99"/>
            </a:cxn>
            <a:cxn ang="T170">
              <a:pos x="T100" y="T101"/>
            </a:cxn>
            <a:cxn ang="T171">
              <a:pos x="T102" y="T103"/>
            </a:cxn>
            <a:cxn ang="T172">
              <a:pos x="T104" y="T105"/>
            </a:cxn>
            <a:cxn ang="T173">
              <a:pos x="T106" y="T107"/>
            </a:cxn>
            <a:cxn ang="T174">
              <a:pos x="T108" y="T109"/>
            </a:cxn>
            <a:cxn ang="T175">
              <a:pos x="T110" y="T111"/>
            </a:cxn>
            <a:cxn ang="T176">
              <a:pos x="T112" y="T113"/>
            </a:cxn>
            <a:cxn ang="T177">
              <a:pos x="T114" y="T115"/>
            </a:cxn>
            <a:cxn ang="T178">
              <a:pos x="T116" y="T117"/>
            </a:cxn>
            <a:cxn ang="T179">
              <a:pos x="T118" y="T119"/>
            </a:cxn>
          </a:cxnLst>
          <a:rect l="T180" t="T181" r="T182" b="T183"/>
          <a:pathLst>
            <a:path w="964" h="645">
              <a:moveTo>
                <a:pt x="15" y="275"/>
              </a:moveTo>
              <a:lnTo>
                <a:pt x="41" y="272"/>
              </a:lnTo>
              <a:lnTo>
                <a:pt x="22" y="249"/>
              </a:lnTo>
              <a:lnTo>
                <a:pt x="48" y="207"/>
              </a:lnTo>
              <a:lnTo>
                <a:pt x="89" y="181"/>
              </a:lnTo>
              <a:lnTo>
                <a:pt x="104" y="162"/>
              </a:lnTo>
              <a:lnTo>
                <a:pt x="86" y="147"/>
              </a:lnTo>
              <a:lnTo>
                <a:pt x="89" y="124"/>
              </a:lnTo>
              <a:lnTo>
                <a:pt x="71" y="68"/>
              </a:lnTo>
              <a:lnTo>
                <a:pt x="71" y="49"/>
              </a:lnTo>
              <a:lnTo>
                <a:pt x="94" y="58"/>
              </a:lnTo>
              <a:lnTo>
                <a:pt x="119" y="26"/>
              </a:lnTo>
              <a:lnTo>
                <a:pt x="145" y="23"/>
              </a:lnTo>
              <a:lnTo>
                <a:pt x="190" y="26"/>
              </a:lnTo>
              <a:lnTo>
                <a:pt x="216" y="45"/>
              </a:lnTo>
              <a:lnTo>
                <a:pt x="268" y="41"/>
              </a:lnTo>
              <a:lnTo>
                <a:pt x="290" y="57"/>
              </a:lnTo>
              <a:lnTo>
                <a:pt x="301" y="79"/>
              </a:lnTo>
              <a:lnTo>
                <a:pt x="313" y="60"/>
              </a:lnTo>
              <a:lnTo>
                <a:pt x="335" y="68"/>
              </a:lnTo>
              <a:lnTo>
                <a:pt x="342" y="60"/>
              </a:lnTo>
              <a:lnTo>
                <a:pt x="361" y="72"/>
              </a:lnTo>
              <a:lnTo>
                <a:pt x="372" y="60"/>
              </a:lnTo>
              <a:lnTo>
                <a:pt x="387" y="79"/>
              </a:lnTo>
              <a:lnTo>
                <a:pt x="421" y="64"/>
              </a:lnTo>
              <a:lnTo>
                <a:pt x="458" y="91"/>
              </a:lnTo>
              <a:lnTo>
                <a:pt x="462" y="75"/>
              </a:lnTo>
              <a:lnTo>
                <a:pt x="458" y="49"/>
              </a:lnTo>
              <a:lnTo>
                <a:pt x="480" y="8"/>
              </a:lnTo>
              <a:lnTo>
                <a:pt x="502" y="11"/>
              </a:lnTo>
              <a:lnTo>
                <a:pt x="517" y="23"/>
              </a:lnTo>
              <a:lnTo>
                <a:pt x="540" y="0"/>
              </a:lnTo>
              <a:lnTo>
                <a:pt x="562" y="11"/>
              </a:lnTo>
              <a:lnTo>
                <a:pt x="592" y="0"/>
              </a:lnTo>
              <a:lnTo>
                <a:pt x="618" y="0"/>
              </a:lnTo>
              <a:lnTo>
                <a:pt x="636" y="30"/>
              </a:lnTo>
              <a:lnTo>
                <a:pt x="651" y="34"/>
              </a:lnTo>
              <a:lnTo>
                <a:pt x="648" y="68"/>
              </a:lnTo>
              <a:lnTo>
                <a:pt x="696" y="83"/>
              </a:lnTo>
              <a:lnTo>
                <a:pt x="715" y="113"/>
              </a:lnTo>
              <a:lnTo>
                <a:pt x="718" y="166"/>
              </a:lnTo>
              <a:lnTo>
                <a:pt x="763" y="170"/>
              </a:lnTo>
              <a:lnTo>
                <a:pt x="778" y="185"/>
              </a:lnTo>
              <a:lnTo>
                <a:pt x="797" y="170"/>
              </a:lnTo>
              <a:lnTo>
                <a:pt x="830" y="162"/>
              </a:lnTo>
              <a:lnTo>
                <a:pt x="834" y="192"/>
              </a:lnTo>
              <a:lnTo>
                <a:pt x="841" y="196"/>
              </a:lnTo>
              <a:lnTo>
                <a:pt x="867" y="196"/>
              </a:lnTo>
              <a:lnTo>
                <a:pt x="875" y="215"/>
              </a:lnTo>
              <a:lnTo>
                <a:pt x="893" y="204"/>
              </a:lnTo>
              <a:lnTo>
                <a:pt x="904" y="219"/>
              </a:lnTo>
              <a:lnTo>
                <a:pt x="964" y="249"/>
              </a:lnTo>
              <a:lnTo>
                <a:pt x="942" y="275"/>
              </a:lnTo>
              <a:lnTo>
                <a:pt x="953" y="294"/>
              </a:lnTo>
              <a:lnTo>
                <a:pt x="942" y="298"/>
              </a:lnTo>
              <a:lnTo>
                <a:pt x="953" y="321"/>
              </a:lnTo>
              <a:lnTo>
                <a:pt x="938" y="362"/>
              </a:lnTo>
              <a:lnTo>
                <a:pt x="897" y="366"/>
              </a:lnTo>
              <a:lnTo>
                <a:pt x="875" y="422"/>
              </a:lnTo>
              <a:lnTo>
                <a:pt x="845" y="419"/>
              </a:lnTo>
              <a:lnTo>
                <a:pt x="774" y="449"/>
              </a:lnTo>
              <a:lnTo>
                <a:pt x="741" y="475"/>
              </a:lnTo>
              <a:lnTo>
                <a:pt x="726" y="468"/>
              </a:lnTo>
              <a:lnTo>
                <a:pt x="703" y="487"/>
              </a:lnTo>
              <a:lnTo>
                <a:pt x="689" y="475"/>
              </a:lnTo>
              <a:lnTo>
                <a:pt x="659" y="502"/>
              </a:lnTo>
              <a:lnTo>
                <a:pt x="715" y="566"/>
              </a:lnTo>
              <a:lnTo>
                <a:pt x="778" y="558"/>
              </a:lnTo>
              <a:lnTo>
                <a:pt x="763" y="600"/>
              </a:lnTo>
              <a:lnTo>
                <a:pt x="741" y="600"/>
              </a:lnTo>
              <a:lnTo>
                <a:pt x="718" y="588"/>
              </a:lnTo>
              <a:lnTo>
                <a:pt x="696" y="611"/>
              </a:lnTo>
              <a:lnTo>
                <a:pt x="663" y="615"/>
              </a:lnTo>
              <a:lnTo>
                <a:pt x="633" y="645"/>
              </a:lnTo>
              <a:lnTo>
                <a:pt x="592" y="634"/>
              </a:lnTo>
              <a:lnTo>
                <a:pt x="610" y="615"/>
              </a:lnTo>
              <a:lnTo>
                <a:pt x="614" y="585"/>
              </a:lnTo>
              <a:lnTo>
                <a:pt x="584" y="570"/>
              </a:lnTo>
              <a:lnTo>
                <a:pt x="551" y="566"/>
              </a:lnTo>
              <a:lnTo>
                <a:pt x="596" y="524"/>
              </a:lnTo>
              <a:lnTo>
                <a:pt x="622" y="517"/>
              </a:lnTo>
              <a:lnTo>
                <a:pt x="614" y="505"/>
              </a:lnTo>
              <a:lnTo>
                <a:pt x="584" y="498"/>
              </a:lnTo>
              <a:lnTo>
                <a:pt x="502" y="502"/>
              </a:lnTo>
              <a:lnTo>
                <a:pt x="529" y="483"/>
              </a:lnTo>
              <a:lnTo>
                <a:pt x="495" y="475"/>
              </a:lnTo>
              <a:lnTo>
                <a:pt x="521" y="460"/>
              </a:lnTo>
              <a:lnTo>
                <a:pt x="465" y="468"/>
              </a:lnTo>
              <a:lnTo>
                <a:pt x="447" y="498"/>
              </a:lnTo>
              <a:lnTo>
                <a:pt x="424" y="479"/>
              </a:lnTo>
              <a:lnTo>
                <a:pt x="417" y="498"/>
              </a:lnTo>
              <a:lnTo>
                <a:pt x="439" y="513"/>
              </a:lnTo>
              <a:lnTo>
                <a:pt x="417" y="543"/>
              </a:lnTo>
              <a:lnTo>
                <a:pt x="391" y="566"/>
              </a:lnTo>
              <a:lnTo>
                <a:pt x="391" y="585"/>
              </a:lnTo>
              <a:lnTo>
                <a:pt x="368" y="570"/>
              </a:lnTo>
              <a:lnTo>
                <a:pt x="342" y="585"/>
              </a:lnTo>
              <a:lnTo>
                <a:pt x="324" y="577"/>
              </a:lnTo>
              <a:lnTo>
                <a:pt x="309" y="562"/>
              </a:lnTo>
              <a:lnTo>
                <a:pt x="339" y="554"/>
              </a:lnTo>
              <a:lnTo>
                <a:pt x="350" y="543"/>
              </a:lnTo>
              <a:lnTo>
                <a:pt x="354" y="521"/>
              </a:lnTo>
              <a:lnTo>
                <a:pt x="357" y="498"/>
              </a:lnTo>
              <a:lnTo>
                <a:pt x="372" y="502"/>
              </a:lnTo>
              <a:lnTo>
                <a:pt x="380" y="487"/>
              </a:lnTo>
              <a:lnTo>
                <a:pt x="395" y="498"/>
              </a:lnTo>
              <a:lnTo>
                <a:pt x="406" y="479"/>
              </a:lnTo>
              <a:lnTo>
                <a:pt x="403" y="458"/>
              </a:lnTo>
              <a:lnTo>
                <a:pt x="386" y="421"/>
              </a:lnTo>
              <a:lnTo>
                <a:pt x="380" y="389"/>
              </a:lnTo>
              <a:lnTo>
                <a:pt x="342" y="355"/>
              </a:lnTo>
              <a:lnTo>
                <a:pt x="324" y="358"/>
              </a:lnTo>
              <a:lnTo>
                <a:pt x="309" y="343"/>
              </a:lnTo>
              <a:lnTo>
                <a:pt x="298" y="351"/>
              </a:lnTo>
              <a:lnTo>
                <a:pt x="287" y="332"/>
              </a:lnTo>
              <a:lnTo>
                <a:pt x="248" y="347"/>
              </a:lnTo>
              <a:lnTo>
                <a:pt x="164" y="377"/>
              </a:lnTo>
              <a:lnTo>
                <a:pt x="65" y="356"/>
              </a:lnTo>
              <a:lnTo>
                <a:pt x="41" y="370"/>
              </a:lnTo>
              <a:lnTo>
                <a:pt x="0" y="321"/>
              </a:lnTo>
              <a:lnTo>
                <a:pt x="15" y="275"/>
              </a:lnTo>
            </a:path>
          </a:pathLst>
        </a:custGeom>
        <a:solidFill>
          <a:srgbClr val="385A83"/>
        </a:solidFill>
        <a:ln w="3175">
          <a:solidFill>
            <a:srgbClr val="385A83"/>
          </a:solidFill>
          <a:round/>
          <a:headEnd/>
          <a:tailEnd/>
        </a:ln>
      </xdr:spPr>
    </xdr:sp>
    <xdr:clientData/>
  </xdr:twoCellAnchor>
  <xdr:twoCellAnchor>
    <xdr:from>
      <xdr:col>5</xdr:col>
      <xdr:colOff>609600</xdr:colOff>
      <xdr:row>21</xdr:row>
      <xdr:rowOff>133350</xdr:rowOff>
    </xdr:from>
    <xdr:to>
      <xdr:col>6</xdr:col>
      <xdr:colOff>695325</xdr:colOff>
      <xdr:row>26</xdr:row>
      <xdr:rowOff>47625</xdr:rowOff>
    </xdr:to>
    <xdr:sp macro="" textlink="">
      <xdr:nvSpPr>
        <xdr:cNvPr id="25681" name="S_BLR"/>
        <xdr:cNvSpPr>
          <a:spLocks noChangeAspect="1"/>
        </xdr:cNvSpPr>
      </xdr:nvSpPr>
      <xdr:spPr bwMode="auto">
        <a:xfrm>
          <a:off x="3581400" y="3543300"/>
          <a:ext cx="800100" cy="723900"/>
        </a:xfrm>
        <a:custGeom>
          <a:avLst/>
          <a:gdLst>
            <a:gd name="T0" fmla="*/ 337392 w 498"/>
            <a:gd name="T1" fmla="*/ 81127 h 464"/>
            <a:gd name="T2" fmla="*/ 390410 w 498"/>
            <a:gd name="T3" fmla="*/ 6241 h 464"/>
            <a:gd name="T4" fmla="*/ 420936 w 498"/>
            <a:gd name="T5" fmla="*/ 10921 h 464"/>
            <a:gd name="T6" fmla="*/ 457889 w 498"/>
            <a:gd name="T7" fmla="*/ 40563 h 464"/>
            <a:gd name="T8" fmla="*/ 530187 w 498"/>
            <a:gd name="T9" fmla="*/ 76446 h 464"/>
            <a:gd name="T10" fmla="*/ 649077 w 498"/>
            <a:gd name="T11" fmla="*/ 110769 h 464"/>
            <a:gd name="T12" fmla="*/ 661930 w 498"/>
            <a:gd name="T13" fmla="*/ 221538 h 464"/>
            <a:gd name="T14" fmla="*/ 679603 w 498"/>
            <a:gd name="T15" fmla="*/ 304225 h 464"/>
            <a:gd name="T16" fmla="*/ 710129 w 498"/>
            <a:gd name="T17" fmla="*/ 391592 h 464"/>
            <a:gd name="T18" fmla="*/ 764754 w 498"/>
            <a:gd name="T19" fmla="*/ 419675 h 464"/>
            <a:gd name="T20" fmla="*/ 776001 w 498"/>
            <a:gd name="T21" fmla="*/ 461798 h 464"/>
            <a:gd name="T22" fmla="*/ 710129 w 498"/>
            <a:gd name="T23" fmla="*/ 461798 h 464"/>
            <a:gd name="T24" fmla="*/ 716555 w 498"/>
            <a:gd name="T25" fmla="*/ 549166 h 464"/>
            <a:gd name="T26" fmla="*/ 679603 w 498"/>
            <a:gd name="T27" fmla="*/ 595969 h 464"/>
            <a:gd name="T28" fmla="*/ 649077 w 498"/>
            <a:gd name="T29" fmla="*/ 700498 h 464"/>
            <a:gd name="T30" fmla="*/ 583205 w 498"/>
            <a:gd name="T31" fmla="*/ 683337 h 464"/>
            <a:gd name="T32" fmla="*/ 506087 w 498"/>
            <a:gd name="T33" fmla="*/ 677096 h 464"/>
            <a:gd name="T34" fmla="*/ 457889 w 498"/>
            <a:gd name="T35" fmla="*/ 677096 h 464"/>
            <a:gd name="T36" fmla="*/ 409690 w 498"/>
            <a:gd name="T37" fmla="*/ 677096 h 464"/>
            <a:gd name="T38" fmla="*/ 372737 w 498"/>
            <a:gd name="T39" fmla="*/ 670856 h 464"/>
            <a:gd name="T40" fmla="*/ 252240 w 498"/>
            <a:gd name="T41" fmla="*/ 653694 h 464"/>
            <a:gd name="T42" fmla="*/ 138170 w 498"/>
            <a:gd name="T43" fmla="*/ 619371 h 464"/>
            <a:gd name="T44" fmla="*/ 59445 w 498"/>
            <a:gd name="T45" fmla="*/ 689577 h 464"/>
            <a:gd name="T46" fmla="*/ 30526 w 498"/>
            <a:gd name="T47" fmla="*/ 606890 h 464"/>
            <a:gd name="T48" fmla="*/ 59445 w 498"/>
            <a:gd name="T49" fmla="*/ 532004 h 464"/>
            <a:gd name="T50" fmla="*/ 35346 w 498"/>
            <a:gd name="T51" fmla="*/ 425915 h 464"/>
            <a:gd name="T52" fmla="*/ 78725 w 498"/>
            <a:gd name="T53" fmla="*/ 304225 h 464"/>
            <a:gd name="T54" fmla="*/ 162269 w 498"/>
            <a:gd name="T55" fmla="*/ 297985 h 464"/>
            <a:gd name="T56" fmla="*/ 184762 w 498"/>
            <a:gd name="T57" fmla="*/ 268342 h 464"/>
            <a:gd name="T58" fmla="*/ 236174 w 498"/>
            <a:gd name="T59" fmla="*/ 184095 h 464"/>
            <a:gd name="T60" fmla="*/ 265093 w 498"/>
            <a:gd name="T61" fmla="*/ 163814 h 464"/>
            <a:gd name="T62" fmla="*/ 276340 w 498"/>
            <a:gd name="T63" fmla="*/ 140412 h 464"/>
            <a:gd name="T64" fmla="*/ 258667 w 498"/>
            <a:gd name="T65" fmla="*/ 117010 h 464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w 498"/>
            <a:gd name="T100" fmla="*/ 0 h 464"/>
            <a:gd name="T101" fmla="*/ 498 w 498"/>
            <a:gd name="T102" fmla="*/ 464 h 464"/>
          </a:gdLst>
          <a:ahLst/>
          <a:cxnLst>
            <a:cxn ang="T66">
              <a:pos x="T0" y="T1"/>
            </a:cxn>
            <a:cxn ang="T67">
              <a:pos x="T2" y="T3"/>
            </a:cxn>
            <a:cxn ang="T68">
              <a:pos x="T4" y="T5"/>
            </a:cxn>
            <a:cxn ang="T69">
              <a:pos x="T6" y="T7"/>
            </a:cxn>
            <a:cxn ang="T70">
              <a:pos x="T8" y="T9"/>
            </a:cxn>
            <a:cxn ang="T71">
              <a:pos x="T10" y="T11"/>
            </a:cxn>
            <a:cxn ang="T72">
              <a:pos x="T12" y="T13"/>
            </a:cxn>
            <a:cxn ang="T73">
              <a:pos x="T14" y="T15"/>
            </a:cxn>
            <a:cxn ang="T74">
              <a:pos x="T16" y="T17"/>
            </a:cxn>
            <a:cxn ang="T75">
              <a:pos x="T18" y="T19"/>
            </a:cxn>
            <a:cxn ang="T76">
              <a:pos x="T20" y="T21"/>
            </a:cxn>
            <a:cxn ang="T77">
              <a:pos x="T22" y="T23"/>
            </a:cxn>
            <a:cxn ang="T78">
              <a:pos x="T24" y="T25"/>
            </a:cxn>
            <a:cxn ang="T79">
              <a:pos x="T26" y="T27"/>
            </a:cxn>
            <a:cxn ang="T80">
              <a:pos x="T28" y="T29"/>
            </a:cxn>
            <a:cxn ang="T81">
              <a:pos x="T30" y="T31"/>
            </a:cxn>
            <a:cxn ang="T82">
              <a:pos x="T32" y="T33"/>
            </a:cxn>
            <a:cxn ang="T83">
              <a:pos x="T34" y="T35"/>
            </a:cxn>
            <a:cxn ang="T84">
              <a:pos x="T36" y="T37"/>
            </a:cxn>
            <a:cxn ang="T85">
              <a:pos x="T38" y="T39"/>
            </a:cxn>
            <a:cxn ang="T86">
              <a:pos x="T40" y="T41"/>
            </a:cxn>
            <a:cxn ang="T87">
              <a:pos x="T42" y="T43"/>
            </a:cxn>
            <a:cxn ang="T88">
              <a:pos x="T44" y="T45"/>
            </a:cxn>
            <a:cxn ang="T89">
              <a:pos x="T46" y="T47"/>
            </a:cxn>
            <a:cxn ang="T90">
              <a:pos x="T48" y="T49"/>
            </a:cxn>
            <a:cxn ang="T91">
              <a:pos x="T50" y="T51"/>
            </a:cxn>
            <a:cxn ang="T92">
              <a:pos x="T52" y="T53"/>
            </a:cxn>
            <a:cxn ang="T93">
              <a:pos x="T54" y="T55"/>
            </a:cxn>
            <a:cxn ang="T94">
              <a:pos x="T56" y="T57"/>
            </a:cxn>
            <a:cxn ang="T95">
              <a:pos x="T58" y="T59"/>
            </a:cxn>
            <a:cxn ang="T96">
              <a:pos x="T60" y="T61"/>
            </a:cxn>
            <a:cxn ang="T97">
              <a:pos x="T62" y="T63"/>
            </a:cxn>
            <a:cxn ang="T98">
              <a:pos x="T64" y="T65"/>
            </a:cxn>
          </a:cxnLst>
          <a:rect l="T99" t="T100" r="T101" b="T102"/>
          <a:pathLst>
            <a:path w="498" h="464">
              <a:moveTo>
                <a:pt x="161" y="75"/>
              </a:moveTo>
              <a:lnTo>
                <a:pt x="210" y="52"/>
              </a:lnTo>
              <a:lnTo>
                <a:pt x="228" y="37"/>
              </a:lnTo>
              <a:lnTo>
                <a:pt x="243" y="4"/>
              </a:lnTo>
              <a:lnTo>
                <a:pt x="247" y="0"/>
              </a:lnTo>
              <a:lnTo>
                <a:pt x="262" y="7"/>
              </a:lnTo>
              <a:lnTo>
                <a:pt x="277" y="7"/>
              </a:lnTo>
              <a:lnTo>
                <a:pt x="285" y="26"/>
              </a:lnTo>
              <a:lnTo>
                <a:pt x="318" y="22"/>
              </a:lnTo>
              <a:lnTo>
                <a:pt x="330" y="49"/>
              </a:lnTo>
              <a:lnTo>
                <a:pt x="367" y="45"/>
              </a:lnTo>
              <a:lnTo>
                <a:pt x="404" y="71"/>
              </a:lnTo>
              <a:lnTo>
                <a:pt x="419" y="120"/>
              </a:lnTo>
              <a:lnTo>
                <a:pt x="412" y="142"/>
              </a:lnTo>
              <a:lnTo>
                <a:pt x="423" y="172"/>
              </a:lnTo>
              <a:lnTo>
                <a:pt x="423" y="195"/>
              </a:lnTo>
              <a:lnTo>
                <a:pt x="438" y="213"/>
              </a:lnTo>
              <a:lnTo>
                <a:pt x="442" y="251"/>
              </a:lnTo>
              <a:lnTo>
                <a:pt x="472" y="239"/>
              </a:lnTo>
              <a:lnTo>
                <a:pt x="476" y="269"/>
              </a:lnTo>
              <a:lnTo>
                <a:pt x="498" y="269"/>
              </a:lnTo>
              <a:lnTo>
                <a:pt x="483" y="296"/>
              </a:lnTo>
              <a:lnTo>
                <a:pt x="472" y="307"/>
              </a:lnTo>
              <a:lnTo>
                <a:pt x="442" y="296"/>
              </a:lnTo>
              <a:lnTo>
                <a:pt x="434" y="314"/>
              </a:lnTo>
              <a:lnTo>
                <a:pt x="446" y="352"/>
              </a:lnTo>
              <a:lnTo>
                <a:pt x="446" y="385"/>
              </a:lnTo>
              <a:lnTo>
                <a:pt x="423" y="382"/>
              </a:lnTo>
              <a:lnTo>
                <a:pt x="401" y="423"/>
              </a:lnTo>
              <a:lnTo>
                <a:pt x="404" y="449"/>
              </a:lnTo>
              <a:lnTo>
                <a:pt x="401" y="464"/>
              </a:lnTo>
              <a:lnTo>
                <a:pt x="363" y="438"/>
              </a:lnTo>
              <a:lnTo>
                <a:pt x="330" y="453"/>
              </a:lnTo>
              <a:lnTo>
                <a:pt x="315" y="434"/>
              </a:lnTo>
              <a:lnTo>
                <a:pt x="303" y="445"/>
              </a:lnTo>
              <a:lnTo>
                <a:pt x="285" y="434"/>
              </a:lnTo>
              <a:lnTo>
                <a:pt x="277" y="442"/>
              </a:lnTo>
              <a:lnTo>
                <a:pt x="255" y="434"/>
              </a:lnTo>
              <a:lnTo>
                <a:pt x="243" y="453"/>
              </a:lnTo>
              <a:lnTo>
                <a:pt x="232" y="430"/>
              </a:lnTo>
              <a:lnTo>
                <a:pt x="210" y="415"/>
              </a:lnTo>
              <a:lnTo>
                <a:pt x="157" y="419"/>
              </a:lnTo>
              <a:lnTo>
                <a:pt x="131" y="400"/>
              </a:lnTo>
              <a:lnTo>
                <a:pt x="86" y="397"/>
              </a:lnTo>
              <a:lnTo>
                <a:pt x="60" y="400"/>
              </a:lnTo>
              <a:lnTo>
                <a:pt x="37" y="442"/>
              </a:lnTo>
              <a:lnTo>
                <a:pt x="11" y="423"/>
              </a:lnTo>
              <a:lnTo>
                <a:pt x="19" y="389"/>
              </a:lnTo>
              <a:lnTo>
                <a:pt x="0" y="352"/>
              </a:lnTo>
              <a:lnTo>
                <a:pt x="37" y="341"/>
              </a:lnTo>
              <a:lnTo>
                <a:pt x="41" y="307"/>
              </a:lnTo>
              <a:lnTo>
                <a:pt x="22" y="273"/>
              </a:lnTo>
              <a:lnTo>
                <a:pt x="19" y="228"/>
              </a:lnTo>
              <a:lnTo>
                <a:pt x="49" y="195"/>
              </a:lnTo>
              <a:lnTo>
                <a:pt x="79" y="202"/>
              </a:lnTo>
              <a:lnTo>
                <a:pt x="101" y="191"/>
              </a:lnTo>
              <a:lnTo>
                <a:pt x="115" y="195"/>
              </a:lnTo>
              <a:lnTo>
                <a:pt x="115" y="172"/>
              </a:lnTo>
              <a:lnTo>
                <a:pt x="126" y="138"/>
              </a:lnTo>
              <a:lnTo>
                <a:pt x="147" y="118"/>
              </a:lnTo>
              <a:lnTo>
                <a:pt x="154" y="101"/>
              </a:lnTo>
              <a:lnTo>
                <a:pt x="165" y="105"/>
              </a:lnTo>
              <a:lnTo>
                <a:pt x="172" y="101"/>
              </a:lnTo>
              <a:lnTo>
                <a:pt x="172" y="90"/>
              </a:lnTo>
              <a:lnTo>
                <a:pt x="157" y="90"/>
              </a:lnTo>
              <a:lnTo>
                <a:pt x="161" y="75"/>
              </a:lnTo>
            </a:path>
          </a:pathLst>
        </a:custGeom>
        <a:solidFill>
          <a:srgbClr val="7AA0CD"/>
        </a:solidFill>
        <a:ln w="3175">
          <a:solidFill>
            <a:srgbClr val="7AA0CD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01" enableFormatConditionsCalculation="0">
    <pageSetUpPr fitToPage="1"/>
  </sheetPr>
  <dimension ref="A1:AB63"/>
  <sheetViews>
    <sheetView showGridLines="0" tabSelected="1" zoomScaleNormal="100" workbookViewId="0">
      <selection activeCell="D2" sqref="D2"/>
    </sheetView>
  </sheetViews>
  <sheetFormatPr baseColWidth="10" defaultColWidth="10.7109375" defaultRowHeight="12.75" customHeight="1"/>
  <cols>
    <col min="1" max="1" width="1.7109375" style="9" customWidth="1"/>
    <col min="2" max="10" width="10.7109375" style="9" customWidth="1"/>
    <col min="11" max="11" width="1.7109375" style="9" customWidth="1"/>
    <col min="12" max="12" width="15.28515625" style="9" customWidth="1"/>
    <col min="13" max="13" width="7.42578125" style="9" customWidth="1"/>
    <col min="14" max="14" width="10.7109375" style="9"/>
    <col min="15" max="15" width="8.7109375" style="9" customWidth="1"/>
    <col min="16" max="16" width="13.42578125" style="9" customWidth="1"/>
    <col min="17" max="17" width="6" style="9" customWidth="1"/>
    <col min="18" max="19" width="10.7109375" style="9"/>
    <col min="20" max="20" width="3.42578125" style="9" customWidth="1"/>
    <col min="21" max="25" width="10.7109375" style="9"/>
    <col min="26" max="28" width="10.7109375" style="82"/>
    <col min="29" max="16384" width="10.7109375" style="9"/>
  </cols>
  <sheetData>
    <row r="1" spans="1:28" s="2" customFormat="1" ht="25.5">
      <c r="A1"/>
      <c r="B1" s="1"/>
      <c r="C1" s="1"/>
      <c r="D1" s="1"/>
      <c r="E1" s="1"/>
      <c r="F1" s="1"/>
      <c r="G1" s="1"/>
      <c r="H1" s="1"/>
      <c r="I1" s="1"/>
      <c r="J1" s="1"/>
      <c r="K1" s="1"/>
      <c r="P1" s="78" t="s">
        <v>81</v>
      </c>
      <c r="Z1" s="82"/>
      <c r="AA1" s="82"/>
      <c r="AB1" s="82"/>
    </row>
    <row r="2" spans="1:28" ht="30" customHeight="1">
      <c r="A2" s="1"/>
      <c r="B2" s="11"/>
      <c r="C2" s="11"/>
      <c r="D2" s="11"/>
      <c r="E2" s="11"/>
      <c r="F2" s="12"/>
      <c r="G2" s="12"/>
      <c r="H2" s="12"/>
      <c r="I2" s="12"/>
      <c r="J2" s="12"/>
      <c r="K2" s="10"/>
      <c r="L2" s="13" t="s">
        <v>73</v>
      </c>
      <c r="M2" s="13" t="s">
        <v>82</v>
      </c>
      <c r="N2" s="13" t="s">
        <v>74</v>
      </c>
      <c r="O2" s="13" t="s">
        <v>75</v>
      </c>
      <c r="P2" s="14" t="s">
        <v>80</v>
      </c>
      <c r="R2" s="85" t="s">
        <v>76</v>
      </c>
      <c r="S2" s="86"/>
      <c r="T2" s="86"/>
      <c r="U2" s="86"/>
      <c r="V2" s="87"/>
      <c r="Z2" s="82" t="str">
        <f>CONCATENATE("Paleta 1_",AA2)</f>
        <v>Paleta 1_1</v>
      </c>
      <c r="AA2" s="83">
        <v>1</v>
      </c>
      <c r="AB2" s="84">
        <v>7039480</v>
      </c>
    </row>
    <row r="3" spans="1:28" ht="17.25" customHeight="1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3" t="s">
        <v>0</v>
      </c>
      <c r="M3" s="4" t="s">
        <v>1</v>
      </c>
      <c r="N3" s="88">
        <v>3639453</v>
      </c>
      <c r="O3" s="88">
        <f t="shared" ref="O3:O39" si="0">ROUNDUP((RANK(N3,$N$3:$N$39,1)/COUNT($N$3:$N$39))*VLOOKUP($P$2,$X$3:$Y$6,2,0),0)</f>
        <v>8</v>
      </c>
      <c r="P3" s="79">
        <f>VLOOKUP(CONCATENATE($P$2,"_",O3),$Z$2:$AB$63,3,0)</f>
        <v>16114387</v>
      </c>
      <c r="R3" s="15" t="s">
        <v>77</v>
      </c>
      <c r="S3" s="16">
        <v>1</v>
      </c>
      <c r="T3" s="40"/>
      <c r="U3" s="15" t="s">
        <v>80</v>
      </c>
      <c r="V3" s="41">
        <v>1</v>
      </c>
      <c r="W3" s="40"/>
      <c r="X3" s="40" t="s">
        <v>77</v>
      </c>
      <c r="Y3" s="40">
        <v>5</v>
      </c>
      <c r="Z3" s="82" t="str">
        <f t="shared" ref="Z3:Z6" si="1">CONCATENATE("Paleta 1_",AA3)</f>
        <v>Paleta 1_2</v>
      </c>
      <c r="AA3" s="83">
        <v>2</v>
      </c>
      <c r="AB3" s="84">
        <v>7842555</v>
      </c>
    </row>
    <row r="4" spans="1:28" ht="12.75" customHeight="1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6" t="s">
        <v>38</v>
      </c>
      <c r="M4" s="5" t="s">
        <v>39</v>
      </c>
      <c r="N4" s="89">
        <v>8210281</v>
      </c>
      <c r="O4" s="89">
        <f t="shared" si="0"/>
        <v>20</v>
      </c>
      <c r="P4" s="80">
        <f t="shared" ref="P4:P39" si="2">VLOOKUP(CONCATENATE($P$2,"_",O4),$Z$2:$AB$63,3,0)</f>
        <v>14462599</v>
      </c>
      <c r="S4" s="17">
        <v>2</v>
      </c>
      <c r="T4" s="40"/>
      <c r="V4" s="42">
        <v>2</v>
      </c>
      <c r="W4" s="40"/>
      <c r="X4" s="40" t="s">
        <v>78</v>
      </c>
      <c r="Y4" s="40">
        <v>10</v>
      </c>
      <c r="Z4" s="82" t="str">
        <f t="shared" si="1"/>
        <v>Paleta 1_3</v>
      </c>
      <c r="AA4" s="83">
        <v>3</v>
      </c>
      <c r="AB4" s="84">
        <v>8711167</v>
      </c>
    </row>
    <row r="5" spans="1:28" ht="12.75" customHeight="1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6" t="s">
        <v>69</v>
      </c>
      <c r="M5" s="5" t="s">
        <v>64</v>
      </c>
      <c r="N5" s="90">
        <v>9648533</v>
      </c>
      <c r="O5" s="90">
        <f t="shared" si="0"/>
        <v>22</v>
      </c>
      <c r="P5" s="80">
        <f t="shared" si="2"/>
        <v>13475962</v>
      </c>
      <c r="S5" s="18">
        <v>3</v>
      </c>
      <c r="T5" s="40"/>
      <c r="V5" s="43">
        <v>3</v>
      </c>
      <c r="W5" s="40"/>
      <c r="X5" s="40" t="s">
        <v>79</v>
      </c>
      <c r="Y5" s="40">
        <v>10</v>
      </c>
      <c r="Z5" s="82" t="str">
        <f t="shared" si="1"/>
        <v>Paleta 1_4</v>
      </c>
      <c r="AA5" s="83">
        <v>4</v>
      </c>
      <c r="AB5" s="84">
        <v>8443313</v>
      </c>
    </row>
    <row r="6" spans="1:28" ht="12.75" customHeight="1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6" t="s">
        <v>4</v>
      </c>
      <c r="M6" s="5" t="s">
        <v>5</v>
      </c>
      <c r="N6" s="91">
        <v>10414336</v>
      </c>
      <c r="O6" s="91">
        <f t="shared" si="0"/>
        <v>25</v>
      </c>
      <c r="P6" s="80">
        <f t="shared" si="2"/>
        <v>12028774</v>
      </c>
      <c r="S6" s="19">
        <v>4</v>
      </c>
      <c r="T6" s="40"/>
      <c r="V6" s="44">
        <v>4</v>
      </c>
      <c r="W6" s="40"/>
      <c r="X6" s="40" t="s">
        <v>80</v>
      </c>
      <c r="Y6" s="40">
        <v>37</v>
      </c>
      <c r="Z6" s="82" t="str">
        <f t="shared" si="1"/>
        <v>Paleta 1_5</v>
      </c>
      <c r="AA6" s="83">
        <v>5</v>
      </c>
      <c r="AB6" s="84">
        <v>8109667</v>
      </c>
    </row>
    <row r="7" spans="1:28" ht="12.75" customHeight="1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6" t="s">
        <v>70</v>
      </c>
      <c r="M7" s="5" t="s">
        <v>6</v>
      </c>
      <c r="N7" s="92">
        <v>4613414</v>
      </c>
      <c r="O7" s="92">
        <f t="shared" si="0"/>
        <v>12</v>
      </c>
      <c r="P7" s="80">
        <f t="shared" si="2"/>
        <v>15651514</v>
      </c>
      <c r="S7" s="20">
        <v>5</v>
      </c>
      <c r="T7" s="40"/>
      <c r="V7" s="45">
        <v>5</v>
      </c>
      <c r="W7" s="40"/>
      <c r="Z7" s="82" t="str">
        <f>CONCATENATE("Paleta 2_",AA7)</f>
        <v>Paleta 2_1</v>
      </c>
      <c r="AA7" s="83">
        <v>1</v>
      </c>
      <c r="AB7" s="84">
        <v>10285055</v>
      </c>
    </row>
    <row r="8" spans="1:28" ht="12.75" customHeight="1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6" t="s">
        <v>7</v>
      </c>
      <c r="M8" s="5" t="s">
        <v>8</v>
      </c>
      <c r="N8" s="93">
        <v>7204687</v>
      </c>
      <c r="O8" s="93">
        <f t="shared" si="0"/>
        <v>17</v>
      </c>
      <c r="P8" s="80">
        <f t="shared" si="2"/>
        <v>15187354</v>
      </c>
      <c r="T8" s="40"/>
      <c r="V8" s="46">
        <v>6</v>
      </c>
      <c r="W8" s="40"/>
      <c r="Z8" s="82" t="str">
        <f t="shared" ref="Z8:Z16" si="3">CONCATENATE("Paleta 2_",AA8)</f>
        <v>Paleta 2_2</v>
      </c>
      <c r="AA8" s="83">
        <v>2</v>
      </c>
      <c r="AB8" s="84">
        <v>10087150</v>
      </c>
    </row>
    <row r="9" spans="1:28" ht="12.7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6" t="s">
        <v>24</v>
      </c>
      <c r="M9" s="5" t="s">
        <v>25</v>
      </c>
      <c r="N9" s="94">
        <v>4489409</v>
      </c>
      <c r="O9" s="94">
        <f t="shared" si="0"/>
        <v>11</v>
      </c>
      <c r="P9" s="80">
        <f t="shared" si="2"/>
        <v>15783616</v>
      </c>
      <c r="T9" s="40"/>
      <c r="V9" s="47">
        <v>7</v>
      </c>
      <c r="W9" s="40"/>
      <c r="Z9" s="82" t="str">
        <f t="shared" si="3"/>
        <v>Paleta 2_3</v>
      </c>
      <c r="AA9" s="83">
        <v>3</v>
      </c>
      <c r="AB9" s="84">
        <v>9823709</v>
      </c>
    </row>
    <row r="10" spans="1:28" ht="12.75" customHeight="1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6" t="s">
        <v>58</v>
      </c>
      <c r="M10" s="5" t="s">
        <v>59</v>
      </c>
      <c r="N10" s="95">
        <v>10211904</v>
      </c>
      <c r="O10" s="95">
        <f t="shared" si="0"/>
        <v>24</v>
      </c>
      <c r="P10" s="80">
        <f t="shared" si="2"/>
        <v>12489325</v>
      </c>
      <c r="R10" s="15" t="s">
        <v>78</v>
      </c>
      <c r="S10" s="21">
        <v>1</v>
      </c>
      <c r="T10" s="40"/>
      <c r="V10" s="48">
        <v>8</v>
      </c>
      <c r="W10" s="40"/>
      <c r="Z10" s="82" t="str">
        <f t="shared" si="3"/>
        <v>Paleta 2_4</v>
      </c>
      <c r="AA10" s="83">
        <v>4</v>
      </c>
      <c r="AB10" s="84">
        <v>9560011</v>
      </c>
    </row>
    <row r="11" spans="1:28" ht="12.75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6" t="s">
        <v>9</v>
      </c>
      <c r="M11" s="5" t="s">
        <v>10</v>
      </c>
      <c r="N11" s="96">
        <v>5500510</v>
      </c>
      <c r="O11" s="96">
        <f t="shared" si="0"/>
        <v>16</v>
      </c>
      <c r="P11" s="80">
        <f t="shared" si="2"/>
        <v>15253920</v>
      </c>
      <c r="S11" s="22">
        <v>2</v>
      </c>
      <c r="T11" s="40"/>
      <c r="V11" s="49">
        <v>9</v>
      </c>
      <c r="W11" s="40"/>
      <c r="Z11" s="82" t="str">
        <f t="shared" si="3"/>
        <v>Paleta 2_5</v>
      </c>
      <c r="AA11" s="83">
        <v>5</v>
      </c>
      <c r="AB11" s="84">
        <v>9362106</v>
      </c>
    </row>
    <row r="12" spans="1:28" ht="12.75" customHeigh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6" t="s">
        <v>13</v>
      </c>
      <c r="M12" s="5" t="s">
        <v>14</v>
      </c>
      <c r="N12" s="97">
        <v>1299371</v>
      </c>
      <c r="O12" s="97">
        <f t="shared" si="0"/>
        <v>3</v>
      </c>
      <c r="P12" s="80">
        <f t="shared" si="2"/>
        <v>16578547</v>
      </c>
      <c r="S12" s="23">
        <v>3</v>
      </c>
      <c r="T12" s="40"/>
      <c r="V12" s="50">
        <v>10</v>
      </c>
      <c r="W12" s="40"/>
      <c r="Z12" s="82" t="str">
        <f t="shared" si="3"/>
        <v>Paleta 2_6</v>
      </c>
      <c r="AA12" s="83">
        <v>6</v>
      </c>
      <c r="AB12" s="84">
        <v>9098409</v>
      </c>
    </row>
    <row r="13" spans="1:28" ht="12.75" customHeight="1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6" t="s">
        <v>15</v>
      </c>
      <c r="M13" s="5" t="s">
        <v>16</v>
      </c>
      <c r="N13" s="98">
        <v>5250275</v>
      </c>
      <c r="O13" s="98">
        <f t="shared" si="0"/>
        <v>14</v>
      </c>
      <c r="P13" s="80">
        <f t="shared" si="2"/>
        <v>15452589</v>
      </c>
      <c r="S13" s="24">
        <v>4</v>
      </c>
      <c r="T13" s="40"/>
      <c r="V13" s="51">
        <v>11</v>
      </c>
      <c r="W13" s="40"/>
      <c r="Z13" s="82" t="str">
        <f t="shared" si="3"/>
        <v>Paleta 2_7</v>
      </c>
      <c r="AA13" s="83">
        <v>7</v>
      </c>
      <c r="AB13" s="84">
        <v>8834967</v>
      </c>
    </row>
    <row r="14" spans="1:28" ht="12.75" customHeight="1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6" t="s">
        <v>17</v>
      </c>
      <c r="M14" s="5" t="s">
        <v>18</v>
      </c>
      <c r="N14" s="99">
        <v>64057792</v>
      </c>
      <c r="O14" s="99">
        <f t="shared" si="0"/>
        <v>35</v>
      </c>
      <c r="P14" s="80">
        <f t="shared" si="2"/>
        <v>7095589</v>
      </c>
      <c r="S14" s="25">
        <v>5</v>
      </c>
      <c r="T14" s="40"/>
      <c r="V14" s="52">
        <v>12</v>
      </c>
      <c r="W14" s="40"/>
      <c r="Z14" s="82" t="str">
        <f t="shared" si="3"/>
        <v>Paleta 2_8</v>
      </c>
      <c r="AA14" s="83">
        <v>8</v>
      </c>
      <c r="AB14" s="84">
        <v>8636806</v>
      </c>
    </row>
    <row r="15" spans="1:28" ht="12.75" customHeight="1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6" t="s">
        <v>11</v>
      </c>
      <c r="M15" s="5" t="s">
        <v>12</v>
      </c>
      <c r="N15" s="100">
        <v>82329758</v>
      </c>
      <c r="O15" s="100">
        <f t="shared" si="0"/>
        <v>36</v>
      </c>
      <c r="P15" s="80">
        <f t="shared" si="2"/>
        <v>6635038</v>
      </c>
      <c r="S15" s="26">
        <v>6</v>
      </c>
      <c r="T15" s="40"/>
      <c r="V15" s="53">
        <v>13</v>
      </c>
      <c r="W15" s="40"/>
      <c r="Z15" s="82" t="str">
        <f t="shared" si="3"/>
        <v>Paleta 2_9</v>
      </c>
      <c r="AA15" s="83">
        <v>9</v>
      </c>
      <c r="AB15" s="84">
        <v>8373365</v>
      </c>
    </row>
    <row r="16" spans="1:28" ht="12.75" customHeight="1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6" t="s">
        <v>19</v>
      </c>
      <c r="M16" s="5" t="s">
        <v>20</v>
      </c>
      <c r="N16" s="101">
        <v>10737428</v>
      </c>
      <c r="O16" s="101">
        <f t="shared" si="0"/>
        <v>27</v>
      </c>
      <c r="P16" s="80">
        <f t="shared" si="2"/>
        <v>11042137</v>
      </c>
      <c r="S16" s="27">
        <v>7</v>
      </c>
      <c r="T16" s="40"/>
      <c r="V16" s="54">
        <v>14</v>
      </c>
      <c r="W16" s="40"/>
      <c r="Z16" s="82" t="str">
        <f t="shared" si="3"/>
        <v>Paleta 2_10</v>
      </c>
      <c r="AA16" s="83">
        <v>10</v>
      </c>
      <c r="AB16" s="84">
        <v>8109667</v>
      </c>
    </row>
    <row r="17" spans="1:28" ht="12.75" customHeight="1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6" t="s">
        <v>62</v>
      </c>
      <c r="M17" s="5" t="s">
        <v>63</v>
      </c>
      <c r="N17" s="102">
        <v>9905596</v>
      </c>
      <c r="O17" s="102">
        <f t="shared" si="0"/>
        <v>23</v>
      </c>
      <c r="P17" s="80">
        <f t="shared" si="2"/>
        <v>13015411</v>
      </c>
      <c r="S17" s="28">
        <v>8</v>
      </c>
      <c r="T17" s="40"/>
      <c r="V17" s="55">
        <v>15</v>
      </c>
      <c r="W17" s="40"/>
      <c r="Z17" s="82" t="str">
        <f>CONCATENATE("Paleta 3_",AA17)</f>
        <v>Paleta 3_1</v>
      </c>
      <c r="AA17" s="83">
        <v>1</v>
      </c>
      <c r="AB17" s="84">
        <v>2650623</v>
      </c>
    </row>
    <row r="18" spans="1:28" ht="12.75" customHeight="1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6" t="s">
        <v>65</v>
      </c>
      <c r="M18" s="5" t="s">
        <v>21</v>
      </c>
      <c r="N18" s="103">
        <v>4203200</v>
      </c>
      <c r="O18" s="103">
        <f t="shared" si="0"/>
        <v>9</v>
      </c>
      <c r="P18" s="80">
        <f t="shared" si="2"/>
        <v>15982285</v>
      </c>
      <c r="S18" s="29">
        <v>9</v>
      </c>
      <c r="T18" s="40"/>
      <c r="V18" s="56">
        <v>16</v>
      </c>
      <c r="W18" s="40"/>
      <c r="Z18" s="82" t="str">
        <f t="shared" ref="Z18:Z26" si="4">CONCATENATE("Paleta 3_",AA18)</f>
        <v>Paleta 3_2</v>
      </c>
      <c r="AA18" s="83">
        <v>2</v>
      </c>
      <c r="AB18" s="84">
        <v>3440639</v>
      </c>
    </row>
    <row r="19" spans="1:28" ht="12.75" customHeight="1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6" t="s">
        <v>22</v>
      </c>
      <c r="M19" s="5" t="s">
        <v>23</v>
      </c>
      <c r="N19" s="104">
        <v>58126212</v>
      </c>
      <c r="O19" s="104">
        <f t="shared" si="0"/>
        <v>33</v>
      </c>
      <c r="P19" s="80">
        <f t="shared" si="2"/>
        <v>8082226</v>
      </c>
      <c r="S19" s="20">
        <v>10</v>
      </c>
      <c r="T19" s="40"/>
      <c r="V19" s="57">
        <v>17</v>
      </c>
      <c r="W19" s="40"/>
      <c r="Z19" s="82" t="str">
        <f t="shared" si="4"/>
        <v>Paleta 3_3</v>
      </c>
      <c r="AA19" s="83">
        <v>3</v>
      </c>
      <c r="AB19" s="84">
        <v>4296191</v>
      </c>
    </row>
    <row r="20" spans="1:28" ht="12.75" customHeight="1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6" t="s">
        <v>26</v>
      </c>
      <c r="M20" s="5" t="s">
        <v>27</v>
      </c>
      <c r="N20" s="105">
        <v>2231503</v>
      </c>
      <c r="O20" s="105">
        <f t="shared" si="0"/>
        <v>6</v>
      </c>
      <c r="P20" s="80">
        <f t="shared" si="2"/>
        <v>16313312</v>
      </c>
      <c r="T20" s="40"/>
      <c r="V20" s="58">
        <v>18</v>
      </c>
      <c r="W20" s="40"/>
      <c r="Z20" s="82" t="str">
        <f t="shared" si="4"/>
        <v>Paleta 3_4</v>
      </c>
      <c r="AA20" s="83">
        <v>4</v>
      </c>
      <c r="AB20" s="84">
        <v>5151743</v>
      </c>
    </row>
    <row r="21" spans="1:28" ht="12.75" customHeight="1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6" t="s">
        <v>28</v>
      </c>
      <c r="M21" s="5" t="s">
        <v>29</v>
      </c>
      <c r="N21" s="106">
        <v>3555179</v>
      </c>
      <c r="O21" s="106">
        <f t="shared" si="0"/>
        <v>7</v>
      </c>
      <c r="P21" s="80">
        <f t="shared" si="2"/>
        <v>16180953</v>
      </c>
      <c r="T21" s="40"/>
      <c r="V21" s="59">
        <v>19</v>
      </c>
      <c r="W21" s="40"/>
      <c r="Z21" s="82" t="str">
        <f t="shared" si="4"/>
        <v>Paleta 3_5</v>
      </c>
      <c r="AA21" s="83">
        <v>5</v>
      </c>
      <c r="AB21" s="84">
        <v>6007295</v>
      </c>
    </row>
    <row r="22" spans="1:28" ht="12.75" customHeight="1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6" t="s">
        <v>30</v>
      </c>
      <c r="M22" s="5" t="s">
        <v>31</v>
      </c>
      <c r="N22" s="107">
        <v>491775</v>
      </c>
      <c r="O22" s="107">
        <f t="shared" si="0"/>
        <v>2</v>
      </c>
      <c r="P22" s="80">
        <f t="shared" si="2"/>
        <v>16710649</v>
      </c>
      <c r="R22" s="15" t="s">
        <v>79</v>
      </c>
      <c r="S22" s="30">
        <v>1</v>
      </c>
      <c r="T22" s="40"/>
      <c r="V22" s="60">
        <v>20</v>
      </c>
      <c r="W22" s="40"/>
      <c r="Z22" s="82" t="str">
        <f t="shared" si="4"/>
        <v>Paleta 3_6</v>
      </c>
      <c r="AA22" s="83">
        <v>6</v>
      </c>
      <c r="AB22" s="84">
        <v>6862847</v>
      </c>
    </row>
    <row r="23" spans="1:28" ht="12.75" customHeight="1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6" t="s">
        <v>72</v>
      </c>
      <c r="M23" s="5" t="s">
        <v>33</v>
      </c>
      <c r="N23" s="108">
        <v>2066718</v>
      </c>
      <c r="O23" s="108">
        <f t="shared" si="0"/>
        <v>5</v>
      </c>
      <c r="P23" s="80">
        <f t="shared" si="2"/>
        <v>16379878</v>
      </c>
      <c r="S23" s="31">
        <v>2</v>
      </c>
      <c r="T23" s="40"/>
      <c r="V23" s="61">
        <v>21</v>
      </c>
      <c r="W23" s="40"/>
      <c r="Z23" s="82" t="str">
        <f t="shared" si="4"/>
        <v>Paleta 3_7</v>
      </c>
      <c r="AA23" s="83">
        <v>7</v>
      </c>
      <c r="AB23" s="84">
        <v>7718399</v>
      </c>
    </row>
    <row r="24" spans="1:28" ht="12.75" customHeight="1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6" t="s">
        <v>32</v>
      </c>
      <c r="M24" s="5" t="s">
        <v>83</v>
      </c>
      <c r="N24" s="109">
        <v>405165</v>
      </c>
      <c r="O24" s="109">
        <f t="shared" si="0"/>
        <v>1</v>
      </c>
      <c r="P24" s="80">
        <f t="shared" si="2"/>
        <v>16777215</v>
      </c>
      <c r="S24" s="32">
        <v>3</v>
      </c>
      <c r="T24" s="40"/>
      <c r="V24" s="62">
        <v>22</v>
      </c>
      <c r="W24" s="40"/>
      <c r="Z24" s="82" t="str">
        <f t="shared" si="4"/>
        <v>Paleta 3_8</v>
      </c>
      <c r="AA24" s="83">
        <v>8</v>
      </c>
      <c r="AB24" s="84">
        <v>8573951</v>
      </c>
    </row>
    <row r="25" spans="1:28" ht="12.75" customHeight="1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6" t="s">
        <v>71</v>
      </c>
      <c r="M25" s="5" t="s">
        <v>34</v>
      </c>
      <c r="N25" s="110">
        <v>4320748</v>
      </c>
      <c r="O25" s="110">
        <f t="shared" si="0"/>
        <v>10</v>
      </c>
      <c r="P25" s="80">
        <f t="shared" si="2"/>
        <v>15850182</v>
      </c>
      <c r="S25" s="33">
        <v>4</v>
      </c>
      <c r="T25" s="40"/>
      <c r="V25" s="63">
        <v>23</v>
      </c>
      <c r="W25" s="40"/>
      <c r="Z25" s="82" t="str">
        <f t="shared" si="4"/>
        <v>Paleta 3_9</v>
      </c>
      <c r="AA25" s="83">
        <v>9</v>
      </c>
      <c r="AB25" s="84">
        <v>9429503</v>
      </c>
    </row>
    <row r="26" spans="1:28" ht="12.75" customHeight="1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6" t="s">
        <v>35</v>
      </c>
      <c r="M26" s="5" t="s">
        <v>3</v>
      </c>
      <c r="N26" s="111">
        <v>16715999</v>
      </c>
      <c r="O26" s="111">
        <f t="shared" si="0"/>
        <v>28</v>
      </c>
      <c r="P26" s="80">
        <f t="shared" si="2"/>
        <v>10516050</v>
      </c>
      <c r="S26" s="34">
        <v>5</v>
      </c>
      <c r="T26" s="40"/>
      <c r="V26" s="64">
        <v>24</v>
      </c>
      <c r="W26" s="40"/>
      <c r="Z26" s="82" t="str">
        <f t="shared" si="4"/>
        <v>Paleta 3_10</v>
      </c>
      <c r="AA26" s="83">
        <v>10</v>
      </c>
      <c r="AB26" s="84">
        <v>10285055</v>
      </c>
    </row>
    <row r="27" spans="1:28" ht="12.75" customHeight="1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6" t="s">
        <v>36</v>
      </c>
      <c r="M27" s="5" t="s">
        <v>37</v>
      </c>
      <c r="N27" s="112">
        <v>4660539</v>
      </c>
      <c r="O27" s="112">
        <f t="shared" si="0"/>
        <v>13</v>
      </c>
      <c r="P27" s="80">
        <f t="shared" si="2"/>
        <v>15584691</v>
      </c>
      <c r="S27" s="35">
        <v>6</v>
      </c>
      <c r="T27" s="40"/>
      <c r="V27" s="65">
        <v>25</v>
      </c>
      <c r="W27" s="40"/>
      <c r="Z27" s="82" t="str">
        <f>CONCATENATE("Paleta 4_",AA27)</f>
        <v>Paleta 4_1</v>
      </c>
      <c r="AA27" s="83">
        <v>1</v>
      </c>
      <c r="AB27" s="84">
        <v>16777215</v>
      </c>
    </row>
    <row r="28" spans="1:28" ht="12.75" customHeight="1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6" t="s">
        <v>40</v>
      </c>
      <c r="M28" s="5" t="s">
        <v>41</v>
      </c>
      <c r="N28" s="113">
        <v>38482919</v>
      </c>
      <c r="O28" s="113">
        <f t="shared" si="0"/>
        <v>30</v>
      </c>
      <c r="P28" s="80">
        <f t="shared" si="2"/>
        <v>9594949</v>
      </c>
      <c r="S28" s="36">
        <v>7</v>
      </c>
      <c r="T28" s="40"/>
      <c r="V28" s="66">
        <v>26</v>
      </c>
      <c r="W28" s="40"/>
      <c r="Z28" s="82" t="str">
        <f t="shared" ref="Z28:Z63" si="5">CONCATENATE("Paleta 4_",AA28)</f>
        <v>Paleta 4_2</v>
      </c>
      <c r="AA28" s="83">
        <v>2</v>
      </c>
      <c r="AB28" s="84">
        <v>16710649</v>
      </c>
    </row>
    <row r="29" spans="1:28" ht="12.75" customHeight="1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6" t="s">
        <v>42</v>
      </c>
      <c r="M29" s="5" t="s">
        <v>43</v>
      </c>
      <c r="N29" s="114">
        <v>10707924</v>
      </c>
      <c r="O29" s="114">
        <f t="shared" si="0"/>
        <v>26</v>
      </c>
      <c r="P29" s="80">
        <f t="shared" si="2"/>
        <v>11502688</v>
      </c>
      <c r="S29" s="37">
        <v>8</v>
      </c>
      <c r="T29" s="40"/>
      <c r="V29" s="67">
        <v>27</v>
      </c>
      <c r="W29" s="40"/>
      <c r="Z29" s="82" t="str">
        <f t="shared" si="5"/>
        <v>Paleta 4_3</v>
      </c>
      <c r="AA29" s="83">
        <v>3</v>
      </c>
      <c r="AB29" s="84">
        <v>16578547</v>
      </c>
    </row>
    <row r="30" spans="1:28" ht="12.75" customHeight="1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6" t="s">
        <v>68</v>
      </c>
      <c r="M30" s="5" t="s">
        <v>44</v>
      </c>
      <c r="N30" s="115">
        <v>22215421</v>
      </c>
      <c r="O30" s="115">
        <f t="shared" si="0"/>
        <v>29</v>
      </c>
      <c r="P30" s="80">
        <f t="shared" si="2"/>
        <v>10055500</v>
      </c>
      <c r="S30" s="38">
        <v>9</v>
      </c>
      <c r="T30" s="40"/>
      <c r="V30" s="68">
        <v>28</v>
      </c>
      <c r="W30" s="40"/>
      <c r="Z30" s="82" t="str">
        <f t="shared" si="5"/>
        <v>Paleta 4_4</v>
      </c>
      <c r="AA30" s="83">
        <v>4</v>
      </c>
      <c r="AB30" s="84">
        <v>16511980</v>
      </c>
    </row>
    <row r="31" spans="1:28" ht="12.75" customHeight="1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6" t="s">
        <v>66</v>
      </c>
      <c r="M31" s="5" t="s">
        <v>45</v>
      </c>
      <c r="N31" s="116">
        <v>140041247</v>
      </c>
      <c r="O31" s="116">
        <f t="shared" si="0"/>
        <v>37</v>
      </c>
      <c r="P31" s="80">
        <f t="shared" si="2"/>
        <v>6108951</v>
      </c>
      <c r="S31" s="39">
        <v>10</v>
      </c>
      <c r="T31" s="40"/>
      <c r="V31" s="69">
        <v>29</v>
      </c>
      <c r="W31" s="40"/>
      <c r="Z31" s="82" t="str">
        <f t="shared" si="5"/>
        <v>Paleta 4_5</v>
      </c>
      <c r="AA31" s="83">
        <v>5</v>
      </c>
      <c r="AB31" s="84">
        <v>16379878</v>
      </c>
    </row>
    <row r="32" spans="1:28" ht="12.75" customHeight="1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6" t="s">
        <v>50</v>
      </c>
      <c r="M32" s="5" t="s">
        <v>51</v>
      </c>
      <c r="N32" s="117">
        <v>7379339</v>
      </c>
      <c r="O32" s="117">
        <f t="shared" si="0"/>
        <v>18</v>
      </c>
      <c r="P32" s="80">
        <f t="shared" si="2"/>
        <v>15055252</v>
      </c>
      <c r="V32" s="70">
        <v>30</v>
      </c>
      <c r="W32" s="40"/>
      <c r="Z32" s="82" t="str">
        <f t="shared" si="5"/>
        <v>Paleta 4_6</v>
      </c>
      <c r="AA32" s="83">
        <v>6</v>
      </c>
      <c r="AB32" s="84">
        <v>16313312</v>
      </c>
    </row>
    <row r="33" spans="1:28" ht="12.75" customHeight="1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6" t="s">
        <v>52</v>
      </c>
      <c r="M33" s="5" t="s">
        <v>53</v>
      </c>
      <c r="N33" s="118">
        <v>5463046</v>
      </c>
      <c r="O33" s="118">
        <f t="shared" si="0"/>
        <v>15</v>
      </c>
      <c r="P33" s="80">
        <f t="shared" si="2"/>
        <v>15386023</v>
      </c>
      <c r="V33" s="71">
        <v>31</v>
      </c>
      <c r="W33" s="40"/>
      <c r="Z33" s="82" t="str">
        <f t="shared" si="5"/>
        <v>Paleta 4_7</v>
      </c>
      <c r="AA33" s="83">
        <v>7</v>
      </c>
      <c r="AB33" s="84">
        <v>16180953</v>
      </c>
    </row>
    <row r="34" spans="1:28" ht="12.75" customHeight="1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6" t="s">
        <v>54</v>
      </c>
      <c r="M34" s="5" t="s">
        <v>55</v>
      </c>
      <c r="N34" s="119">
        <v>2005692</v>
      </c>
      <c r="O34" s="119">
        <f t="shared" si="0"/>
        <v>4</v>
      </c>
      <c r="P34" s="80">
        <f t="shared" si="2"/>
        <v>16511980</v>
      </c>
      <c r="V34" s="72">
        <v>32</v>
      </c>
      <c r="W34" s="40"/>
      <c r="Z34" s="82" t="str">
        <f t="shared" si="5"/>
        <v>Paleta 4_8</v>
      </c>
      <c r="AA34" s="83">
        <v>8</v>
      </c>
      <c r="AB34" s="84">
        <v>16114387</v>
      </c>
    </row>
    <row r="35" spans="1:28" ht="12.75" customHeight="1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6" t="s">
        <v>56</v>
      </c>
      <c r="M35" s="5" t="s">
        <v>57</v>
      </c>
      <c r="N35" s="120">
        <v>40525002</v>
      </c>
      <c r="O35" s="120">
        <f t="shared" si="0"/>
        <v>31</v>
      </c>
      <c r="P35" s="80">
        <f t="shared" si="2"/>
        <v>9068863</v>
      </c>
      <c r="V35" s="73">
        <v>33</v>
      </c>
      <c r="W35" s="40"/>
      <c r="Z35" s="82" t="str">
        <f t="shared" si="5"/>
        <v>Paleta 4_9</v>
      </c>
      <c r="AA35" s="83">
        <v>9</v>
      </c>
      <c r="AB35" s="84">
        <v>15982285</v>
      </c>
    </row>
    <row r="36" spans="1:28" ht="12.75" customHeight="1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6" t="s">
        <v>46</v>
      </c>
      <c r="M36" s="5" t="s">
        <v>47</v>
      </c>
      <c r="N36" s="121">
        <v>9059651</v>
      </c>
      <c r="O36" s="121">
        <f t="shared" si="0"/>
        <v>21</v>
      </c>
      <c r="P36" s="80">
        <f t="shared" si="2"/>
        <v>14002048</v>
      </c>
      <c r="V36" s="74">
        <v>34</v>
      </c>
      <c r="W36" s="40"/>
      <c r="Z36" s="82" t="str">
        <f t="shared" si="5"/>
        <v>Paleta 4_10</v>
      </c>
      <c r="AA36" s="83">
        <v>10</v>
      </c>
      <c r="AB36" s="84">
        <v>15850182</v>
      </c>
    </row>
    <row r="37" spans="1:28" ht="12.75" customHeight="1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6" t="s">
        <v>48</v>
      </c>
      <c r="M37" s="5" t="s">
        <v>49</v>
      </c>
      <c r="N37" s="122">
        <v>7604467</v>
      </c>
      <c r="O37" s="122">
        <f t="shared" si="0"/>
        <v>19</v>
      </c>
      <c r="P37" s="80">
        <f t="shared" si="2"/>
        <v>14922893</v>
      </c>
      <c r="V37" s="75">
        <v>35</v>
      </c>
      <c r="W37" s="40"/>
      <c r="Z37" s="82" t="str">
        <f t="shared" si="5"/>
        <v>Paleta 4_11</v>
      </c>
      <c r="AA37" s="83">
        <v>11</v>
      </c>
      <c r="AB37" s="84">
        <v>15783616</v>
      </c>
    </row>
    <row r="38" spans="1:28" ht="12.75" customHeight="1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6" t="s">
        <v>60</v>
      </c>
      <c r="M38" s="5" t="s">
        <v>61</v>
      </c>
      <c r="N38" s="123">
        <v>45700395</v>
      </c>
      <c r="O38" s="123">
        <f t="shared" si="0"/>
        <v>32</v>
      </c>
      <c r="P38" s="80">
        <f t="shared" si="2"/>
        <v>8608312</v>
      </c>
      <c r="V38" s="76">
        <v>36</v>
      </c>
      <c r="W38" s="40"/>
      <c r="Z38" s="82" t="str">
        <f t="shared" si="5"/>
        <v>Paleta 4_12</v>
      </c>
      <c r="AA38" s="83">
        <v>12</v>
      </c>
      <c r="AB38" s="84">
        <v>15651514</v>
      </c>
    </row>
    <row r="39" spans="1:28" ht="12.75" customHeight="1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7" t="s">
        <v>67</v>
      </c>
      <c r="M39" s="8" t="s">
        <v>2</v>
      </c>
      <c r="N39" s="124">
        <v>61113205</v>
      </c>
      <c r="O39" s="124">
        <f t="shared" si="0"/>
        <v>34</v>
      </c>
      <c r="P39" s="81">
        <f t="shared" si="2"/>
        <v>7621675</v>
      </c>
      <c r="V39" s="77">
        <v>37</v>
      </c>
      <c r="W39" s="40"/>
      <c r="Z39" s="82" t="str">
        <f t="shared" si="5"/>
        <v>Paleta 4_13</v>
      </c>
      <c r="AA39" s="83">
        <v>13</v>
      </c>
      <c r="AB39" s="84">
        <v>15584691</v>
      </c>
    </row>
    <row r="40" spans="1:28" ht="12.75" customHeight="1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Z40" s="82" t="str">
        <f t="shared" si="5"/>
        <v>Paleta 4_14</v>
      </c>
      <c r="AA40" s="83">
        <v>14</v>
      </c>
      <c r="AB40" s="84">
        <v>15452589</v>
      </c>
    </row>
    <row r="41" spans="1:28" ht="12.75" customHeight="1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Z41" s="82" t="str">
        <f t="shared" si="5"/>
        <v>Paleta 4_15</v>
      </c>
      <c r="AA41" s="83">
        <v>15</v>
      </c>
      <c r="AB41" s="84">
        <v>15386023</v>
      </c>
    </row>
    <row r="42" spans="1:28" ht="12.75" customHeight="1">
      <c r="Z42" s="82" t="str">
        <f t="shared" si="5"/>
        <v>Paleta 4_16</v>
      </c>
      <c r="AA42" s="83">
        <v>16</v>
      </c>
      <c r="AB42" s="84">
        <v>15253920</v>
      </c>
    </row>
    <row r="43" spans="1:28" ht="12.75" customHeight="1">
      <c r="Z43" s="82" t="str">
        <f t="shared" si="5"/>
        <v>Paleta 4_17</v>
      </c>
      <c r="AA43" s="83">
        <v>17</v>
      </c>
      <c r="AB43" s="84">
        <v>15187354</v>
      </c>
    </row>
    <row r="44" spans="1:28" ht="12.75" customHeight="1">
      <c r="Z44" s="82" t="str">
        <f t="shared" si="5"/>
        <v>Paleta 4_18</v>
      </c>
      <c r="AA44" s="83">
        <v>18</v>
      </c>
      <c r="AB44" s="84">
        <v>15055252</v>
      </c>
    </row>
    <row r="45" spans="1:28" ht="12.75" customHeight="1">
      <c r="Z45" s="82" t="str">
        <f t="shared" si="5"/>
        <v>Paleta 4_19</v>
      </c>
      <c r="AA45" s="83">
        <v>19</v>
      </c>
      <c r="AB45" s="84">
        <v>14922893</v>
      </c>
    </row>
    <row r="46" spans="1:28" ht="12.75" customHeight="1">
      <c r="Z46" s="82" t="str">
        <f t="shared" si="5"/>
        <v>Paleta 4_20</v>
      </c>
      <c r="AA46" s="83">
        <v>20</v>
      </c>
      <c r="AB46" s="84">
        <v>14462599</v>
      </c>
    </row>
    <row r="47" spans="1:28" ht="12.75" customHeight="1">
      <c r="Z47" s="82" t="str">
        <f t="shared" si="5"/>
        <v>Paleta 4_21</v>
      </c>
      <c r="AA47" s="83">
        <v>21</v>
      </c>
      <c r="AB47" s="84">
        <v>14002048</v>
      </c>
    </row>
    <row r="48" spans="1:28" ht="12.75" customHeight="1">
      <c r="Z48" s="82" t="str">
        <f t="shared" si="5"/>
        <v>Paleta 4_22</v>
      </c>
      <c r="AA48" s="83">
        <v>22</v>
      </c>
      <c r="AB48" s="84">
        <v>13475962</v>
      </c>
    </row>
    <row r="49" spans="26:28" ht="12.75" customHeight="1">
      <c r="Z49" s="82" t="str">
        <f t="shared" si="5"/>
        <v>Paleta 4_23</v>
      </c>
      <c r="AA49" s="83">
        <v>23</v>
      </c>
      <c r="AB49" s="84">
        <v>13015411</v>
      </c>
    </row>
    <row r="50" spans="26:28" ht="12.75" customHeight="1">
      <c r="Z50" s="82" t="str">
        <f t="shared" si="5"/>
        <v>Paleta 4_24</v>
      </c>
      <c r="AA50" s="83">
        <v>24</v>
      </c>
      <c r="AB50" s="84">
        <v>12489325</v>
      </c>
    </row>
    <row r="51" spans="26:28" ht="12.75" customHeight="1">
      <c r="Z51" s="82" t="str">
        <f t="shared" si="5"/>
        <v>Paleta 4_25</v>
      </c>
      <c r="AA51" s="83">
        <v>25</v>
      </c>
      <c r="AB51" s="84">
        <v>12028774</v>
      </c>
    </row>
    <row r="52" spans="26:28" ht="12.75" customHeight="1">
      <c r="Z52" s="82" t="str">
        <f t="shared" si="5"/>
        <v>Paleta 4_26</v>
      </c>
      <c r="AA52" s="83">
        <v>26</v>
      </c>
      <c r="AB52" s="84">
        <v>11502688</v>
      </c>
    </row>
    <row r="53" spans="26:28" ht="12.75" customHeight="1">
      <c r="Z53" s="82" t="str">
        <f t="shared" si="5"/>
        <v>Paleta 4_27</v>
      </c>
      <c r="AA53" s="83">
        <v>27</v>
      </c>
      <c r="AB53" s="84">
        <v>11042137</v>
      </c>
    </row>
    <row r="54" spans="26:28" ht="12.75" customHeight="1">
      <c r="Z54" s="82" t="str">
        <f t="shared" si="5"/>
        <v>Paleta 4_28</v>
      </c>
      <c r="AA54" s="83">
        <v>28</v>
      </c>
      <c r="AB54" s="84">
        <v>10516050</v>
      </c>
    </row>
    <row r="55" spans="26:28" ht="12.75" customHeight="1">
      <c r="Z55" s="82" t="str">
        <f t="shared" si="5"/>
        <v>Paleta 4_29</v>
      </c>
      <c r="AA55" s="83">
        <v>29</v>
      </c>
      <c r="AB55" s="84">
        <v>10055500</v>
      </c>
    </row>
    <row r="56" spans="26:28" ht="12.75" customHeight="1">
      <c r="Z56" s="82" t="str">
        <f t="shared" si="5"/>
        <v>Paleta 4_30</v>
      </c>
      <c r="AA56" s="83">
        <v>30</v>
      </c>
      <c r="AB56" s="84">
        <v>9594949</v>
      </c>
    </row>
    <row r="57" spans="26:28" ht="12.75" customHeight="1">
      <c r="Z57" s="82" t="str">
        <f t="shared" si="5"/>
        <v>Paleta 4_31</v>
      </c>
      <c r="AA57" s="83">
        <v>31</v>
      </c>
      <c r="AB57" s="84">
        <v>9068863</v>
      </c>
    </row>
    <row r="58" spans="26:28" ht="12.75" customHeight="1">
      <c r="Z58" s="82" t="str">
        <f t="shared" si="5"/>
        <v>Paleta 4_32</v>
      </c>
      <c r="AA58" s="83">
        <v>32</v>
      </c>
      <c r="AB58" s="84">
        <v>8608312</v>
      </c>
    </row>
    <row r="59" spans="26:28" ht="12.75" customHeight="1">
      <c r="Z59" s="82" t="str">
        <f t="shared" si="5"/>
        <v>Paleta 4_33</v>
      </c>
      <c r="AA59" s="83">
        <v>33</v>
      </c>
      <c r="AB59" s="84">
        <v>8082226</v>
      </c>
    </row>
    <row r="60" spans="26:28" ht="12.75" customHeight="1">
      <c r="Z60" s="82" t="str">
        <f t="shared" si="5"/>
        <v>Paleta 4_34</v>
      </c>
      <c r="AA60" s="83">
        <v>34</v>
      </c>
      <c r="AB60" s="84">
        <v>7621675</v>
      </c>
    </row>
    <row r="61" spans="26:28" ht="12.75" customHeight="1">
      <c r="Z61" s="82" t="str">
        <f t="shared" si="5"/>
        <v>Paleta 4_35</v>
      </c>
      <c r="AA61" s="83">
        <v>35</v>
      </c>
      <c r="AB61" s="84">
        <v>7095589</v>
      </c>
    </row>
    <row r="62" spans="26:28" ht="12.75" customHeight="1">
      <c r="Z62" s="82" t="str">
        <f t="shared" si="5"/>
        <v>Paleta 4_36</v>
      </c>
      <c r="AA62" s="83">
        <v>36</v>
      </c>
      <c r="AB62" s="84">
        <v>6635038</v>
      </c>
    </row>
    <row r="63" spans="26:28" ht="12.75" customHeight="1">
      <c r="Z63" s="82" t="str">
        <f t="shared" si="5"/>
        <v>Paleta 4_37</v>
      </c>
      <c r="AA63" s="83">
        <v>37</v>
      </c>
      <c r="AB63" s="84">
        <v>6108951</v>
      </c>
    </row>
  </sheetData>
  <mergeCells count="1">
    <mergeCell ref="R2:V2"/>
  </mergeCells>
  <phoneticPr fontId="4" type="noConversion"/>
  <dataValidations count="1">
    <dataValidation type="list" allowBlank="1" showInputMessage="1" showErrorMessage="1" sqref="P2">
      <formula1>$X$3:$X$6</formula1>
    </dataValidation>
  </dataValidations>
  <printOptions horizontalCentered="1" verticalCentered="1"/>
  <pageMargins left="0.19685039370078741" right="0.19685039370078741" top="0.39370078740157483" bottom="0.59055118110236227" header="0.19685039370078741" footer="0.19685039370078741"/>
  <pageSetup paperSize="9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3</vt:i4>
      </vt:variant>
    </vt:vector>
  </HeadingPairs>
  <TitlesOfParts>
    <vt:vector size="4" baseType="lpstr">
      <vt:lpstr>mapa</vt:lpstr>
      <vt:lpstr>pais</vt:lpstr>
      <vt:lpstr>paleta</vt:lpstr>
      <vt:lpstr>pintar</vt:lpstr>
    </vt:vector>
  </TitlesOfParts>
  <Manager>Robert</Manager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Mapa de Europa</dc:title>
  <dc:creator>www.analisisydecision.es</dc:creator>
  <dc:description>www.analisisydecision.es</dc:description>
  <cp:lastModifiedBy>varaul</cp:lastModifiedBy>
  <cp:lastPrinted>2009-05-21T18:56:50Z</cp:lastPrinted>
  <dcterms:created xsi:type="dcterms:W3CDTF">2007-04-26T11:59:09Z</dcterms:created>
  <dcterms:modified xsi:type="dcterms:W3CDTF">2015-04-24T10:27:18Z</dcterms:modified>
  <cp:category>Mapa Excel</cp:category>
</cp:coreProperties>
</file>